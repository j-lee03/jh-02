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5"/>
    <sheet name="전체일정" sheetId="2" r:id="rId6"/>
    <sheet name="달일정" sheetId="3" r:id="rId7"/>
    <sheet name="2025년인원편성표" sheetId="4" r:id="rId8"/>
    <sheet name="무대음향팀인원표" sheetId="5" r:id="rId9"/>
    <sheet name="2025년 4월최신인원표" sheetId="6" r:id="rId10"/>
    <sheet name="2차면접표" sheetId="7" r:id="rId11"/>
    <sheet name="3차실무합격표" sheetId="8" r:id="rId12"/>
    <sheet name="결혼식 - 필요물품(음향)" sheetId="9" r:id="rId13"/>
    <sheet name="결혼식 - 전체행사물품(공용)" sheetId="10" r:id="rId14"/>
    <sheet name="결혼식 - 사회자준비물" sheetId="11" r:id="rId15"/>
    <sheet name="결혼식 - 필요칸" sheetId="12" r:id="rId16"/>
    <sheet name="시트 1 - 12_30 무대음향 특별스텝인원편성표" sheetId="13" r:id="rId1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<sst xmlns="http://schemas.openxmlformats.org/spreadsheetml/2006/main" uniqueCount="4053">
  <si>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</si>
  <si>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</si>
  <si>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</si>
  <si>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</si>
  <si>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전체일정</t>
  </si>
  <si>
    <t>표 1</t>
  </si>
  <si>
    <r>
      <rPr>
        <u val="single"/>
        <sz val="12"/>
        <color indexed="13"/>
        <rFont val="맑은 고딕"/>
      </rPr>
      <t>전체일정</t>
    </r>
  </si>
  <si>
    <t>달일정</t>
  </si>
  <si>
    <r>
      <rPr>
        <u val="single"/>
        <sz val="12"/>
        <color indexed="13"/>
        <rFont val="맑은 고딕"/>
      </rPr>
      <t>달일정</t>
    </r>
  </si>
  <si>
    <t>2025년인원편성표</t>
  </si>
  <si>
    <r>
      <rPr>
        <u val="single"/>
        <sz val="12"/>
        <color indexed="13"/>
        <rFont val="맑은 고딕"/>
      </rPr>
      <t>2025년인원편성표</t>
    </r>
  </si>
  <si>
    <t>무대음향팀인원표</t>
  </si>
  <si>
    <r>
      <rPr>
        <u val="single"/>
        <sz val="12"/>
        <color indexed="13"/>
        <rFont val="맑은 고딕"/>
      </rPr>
      <t>무대음향팀인원표</t>
    </r>
  </si>
  <si>
    <t>2025년 4월최신인원표</t>
  </si>
  <si>
    <r>
      <rPr>
        <u val="single"/>
        <sz val="12"/>
        <color indexed="13"/>
        <rFont val="맑은 고딕"/>
      </rPr>
      <t>2025년 4월최신인원표</t>
    </r>
  </si>
  <si>
    <t>2차면접표</t>
  </si>
  <si>
    <r>
      <rPr>
        <u val="single"/>
        <sz val="12"/>
        <color indexed="13"/>
        <rFont val="맑은 고딕"/>
      </rPr>
      <t>2차면접표</t>
    </r>
  </si>
  <si>
    <t>3차실무합격표</t>
  </si>
  <si>
    <r>
      <rPr>
        <u val="single"/>
        <sz val="12"/>
        <color indexed="13"/>
        <rFont val="맑은 고딕"/>
      </rPr>
      <t>3차실무합격표</t>
    </r>
  </si>
  <si>
    <t>결혼식</t>
  </si>
  <si>
    <t>필요물품(음향)</t>
  </si>
  <si>
    <r>
      <rPr>
        <u val="single"/>
        <sz val="12"/>
        <color indexed="13"/>
        <rFont val="맑은 고딕"/>
      </rPr>
      <t>결혼식 - 필요물품(음향)</t>
    </r>
  </si>
  <si>
    <t>전체행사물품(공용)</t>
  </si>
  <si>
    <r>
      <rPr>
        <u val="single"/>
        <sz val="12"/>
        <color indexed="13"/>
        <rFont val="맑은 고딕"/>
      </rPr>
      <t>결혼식 - 전체행사물품(공용)</t>
    </r>
  </si>
  <si>
    <t>사회자준비물</t>
  </si>
  <si>
    <r>
      <rPr>
        <u val="single"/>
        <sz val="12"/>
        <color indexed="13"/>
        <rFont val="맑은 고딕"/>
      </rPr>
      <t>결혼식 - 사회자준비물</t>
    </r>
  </si>
  <si>
    <t>필요칸</t>
  </si>
  <si>
    <r>
      <rPr>
        <u val="single"/>
        <sz val="12"/>
        <color indexed="13"/>
        <rFont val="맑은 고딕"/>
      </rPr>
      <t>결혼식 - 필요칸</t>
    </r>
  </si>
  <si>
    <t>시트 1</t>
  </si>
  <si>
    <t>12/30 무대음향 특별스텝인원편성표</t>
  </si>
  <si>
    <r>
      <rPr>
        <u val="single"/>
        <sz val="12"/>
        <color indexed="13"/>
        <rFont val="맑은 고딕"/>
      </rPr>
      <t>시트 1 - 12_30 무대음향 특별스텝인원편성표</t>
    </r>
  </si>
  <si>
    <t>ID</t>
  </si>
  <si>
    <t>Location</t>
  </si>
  <si>
    <t>Category</t>
  </si>
  <si>
    <t>Title</t>
  </si>
  <si>
    <t>Date</t>
  </si>
  <si>
    <t>Venue</t>
  </si>
  <si>
    <t>TeamSetup</t>
  </si>
  <si>
    <t>Notes</t>
  </si>
  <si>
    <t>Status</t>
  </si>
  <si>
    <t>1</t>
  </si>
  <si>
    <t>음악당</t>
  </si>
  <si>
    <t>클래식</t>
  </si>
  <si>
    <t>2025 신년음악회</t>
  </si>
  <si>
    <t>2025-01-09</t>
  </si>
  <si>
    <t>콘서트홀</t>
  </si>
  <si>
    <t>3-5팀</t>
  </si>
  <si>
    <t>장소이전가능성있음</t>
  </si>
  <si>
    <t>2</t>
  </si>
  <si>
    <t>교향곡</t>
  </si>
  <si>
    <t>2025 대원신년음악회</t>
  </si>
  <si>
    <t>2025-01-11</t>
  </si>
  <si>
    <t>5팀</t>
  </si>
  <si>
    <t>3</t>
  </si>
  <si>
    <t>2025 신년음악회 &lt;집시 카니발&gt;</t>
  </si>
  <si>
    <t>2025-01-12</t>
  </si>
  <si>
    <t>4</t>
  </si>
  <si>
    <t>이벤트콘서트</t>
  </si>
  <si>
    <t>코리안챔버오케스트라 창단 60주년 기념</t>
  </si>
  <si>
    <t>2025-02-01</t>
  </si>
  <si>
    <t>-</t>
  </si>
  <si>
    <t>5</t>
  </si>
  <si>
    <t>지브리 OST 콘서트 : 디 오케스트라</t>
  </si>
  <si>
    <t>2025-02-02</t>
  </si>
  <si>
    <t>6</t>
  </si>
  <si>
    <t>빈-베를린 체임버 오케스트라</t>
  </si>
  <si>
    <t>2025-02-04</t>
  </si>
  <si>
    <t>3-4팀</t>
  </si>
  <si>
    <t>7</t>
  </si>
  <si>
    <t>제54회 유나이티드 필하모닉 오케스트라와 함께하는 Glory Glory Korea</t>
  </si>
  <si>
    <t>2025-02-08</t>
  </si>
  <si>
    <t>일부5팀지원</t>
  </si>
  <si>
    <t>8</t>
  </si>
  <si>
    <t>합창</t>
  </si>
  <si>
    <t>제22회 합창단 음악이있는마을 정기연주회</t>
  </si>
  <si>
    <t>2025-02-09</t>
  </si>
  <si>
    <t>9</t>
  </si>
  <si>
    <t>한경arte필하모닉 더클래식2025 시리즈1</t>
  </si>
  <si>
    <t>2025-02-11</t>
  </si>
  <si>
    <t>10</t>
  </si>
  <si>
    <t>서울대학교 음악대학 제14회 관악동문 정기연주회</t>
  </si>
  <si>
    <t>2025-02-12</t>
  </si>
  <si>
    <t>11</t>
  </si>
  <si>
    <t>한화생명과 함께하는 예술의전당 11시 콘서트(2월)</t>
  </si>
  <si>
    <t>2025-02-13</t>
  </si>
  <si>
    <t>12</t>
  </si>
  <si>
    <t>SM CLASSICS LIVE 2025 with 서울시립교향악단</t>
  </si>
  <si>
    <t>2025-02-14</t>
  </si>
  <si>
    <t>합창마이크점검</t>
  </si>
  <si>
    <t>13</t>
  </si>
  <si>
    <t>IBK기업은행과 함께하는 예술의전당 토요콘서트(2월)</t>
  </si>
  <si>
    <t>2025-02-15</t>
  </si>
  <si>
    <t>14</t>
  </si>
  <si>
    <t>국립심포니오케스트라 &lt;베토벤, 교향곡 9번 `합창`&gt;</t>
  </si>
  <si>
    <t>2025-02-16</t>
  </si>
  <si>
    <t>15</t>
  </si>
  <si>
    <t>강남심포니오케스트라 제108회 정기연주회</t>
  </si>
  <si>
    <t>2025-02-18</t>
  </si>
  <si>
    <t>16</t>
  </si>
  <si>
    <t>김응수 &amp; 카메라타 솔 &lt;겹의 미학&gt; 시리즈 1: B</t>
  </si>
  <si>
    <t>2025-02-19</t>
  </si>
  <si>
    <t>17</t>
  </si>
  <si>
    <t>제16회ARKO한국창작음악제(양악부문)</t>
  </si>
  <si>
    <t>2025-02-20</t>
  </si>
  <si>
    <t>18</t>
  </si>
  <si>
    <t>KBS 교향악단 제811회 정기연주회</t>
  </si>
  <si>
    <t>2025-02-21</t>
  </si>
  <si>
    <t>19</t>
  </si>
  <si>
    <t>모차르트 플룻 협주곡</t>
  </si>
  <si>
    <t>2025-02-22</t>
  </si>
  <si>
    <t>2-4팀</t>
  </si>
  <si>
    <t>20</t>
  </si>
  <si>
    <t>후지타 마오 피아노 리사이틀</t>
  </si>
  <si>
    <t>2025-02-23</t>
  </si>
  <si>
    <t>21</t>
  </si>
  <si>
    <t>클래식 음악 신예들과 함께하는 하트하트오케스트라 위드콘서트 &lt;WITH CONCERT&gt;</t>
  </si>
  <si>
    <t>2025-02-25</t>
  </si>
  <si>
    <t>22</t>
  </si>
  <si>
    <t>고잉홈프로젝트: 라벨 교향악곡 전곡 시리즈 I. 話</t>
  </si>
  <si>
    <t>2025-02-26</t>
  </si>
  <si>
    <t>23</t>
  </si>
  <si>
    <t>국립합창단 3.1절 기념음악회 &lt;거룩한 함성&gt;</t>
  </si>
  <si>
    <t>2025-02-27</t>
  </si>
  <si>
    <t>24</t>
  </si>
  <si>
    <t>KT와 함께하는 예술의전당 마음을 담은 클래식(2월)</t>
  </si>
  <si>
    <t>2025-02-28</t>
  </si>
  <si>
    <t>25</t>
  </si>
  <si>
    <t>2025 서울시향 아주 특별한 콘서트</t>
  </si>
  <si>
    <t>2025-03-02</t>
  </si>
  <si>
    <t>26</t>
  </si>
  <si>
    <t>경기필하모닉 2025 마스터즈 시리즈 I &lt;아마데우스&gt;</t>
  </si>
  <si>
    <t>2025-03-07</t>
  </si>
  <si>
    <t>27</t>
  </si>
  <si>
    <t>프리마돈나 이규도 추모음악회</t>
  </si>
  <si>
    <t>2025-03-08</t>
  </si>
  <si>
    <t>28</t>
  </si>
  <si>
    <t>국립심포니오케스트라 &lt;베르디, 레퀴엠&gt;</t>
  </si>
  <si>
    <t>2025-03-09</t>
  </si>
  <si>
    <t>29</t>
  </si>
  <si>
    <t>Heart of Brahms</t>
  </si>
  <si>
    <t>2025-03-11</t>
  </si>
  <si>
    <t>30</t>
  </si>
  <si>
    <t>한화생명과 함께하는 예술의전당 11시 콘서트(3월)</t>
  </si>
  <si>
    <t>2025-03-13</t>
  </si>
  <si>
    <t>31</t>
  </si>
  <si>
    <t>2025 세아이운형문화재단 음악회</t>
  </si>
  <si>
    <t>2025-03-14</t>
  </si>
  <si>
    <t>32</t>
  </si>
  <si>
    <t>IBK기업은행과 함께하는 예술의전당 토요콘서트(3월)</t>
  </si>
  <si>
    <t>2025-03-15</t>
  </si>
  <si>
    <t>33</t>
  </si>
  <si>
    <t>바이올리니스트 양인모 리사이틀</t>
  </si>
  <si>
    <t>2025-03-16</t>
  </si>
  <si>
    <t>34</t>
  </si>
  <si>
    <t>어니스트 필하모닉 오케스트라 제6회 정기연주회 : 위대한 작곡가 탐구 시리즈 3 “노력하는 천재 모차르트”</t>
  </si>
  <si>
    <t>2025-03-18</t>
  </si>
  <si>
    <t>35</t>
  </si>
  <si>
    <t>교보노블리에 포유콘서트</t>
  </si>
  <si>
    <t>2025-03-19</t>
  </si>
  <si>
    <t>36</t>
  </si>
  <si>
    <t>레 벙 프랑세</t>
  </si>
  <si>
    <t>2025-03-20</t>
  </si>
  <si>
    <t>37</t>
  </si>
  <si>
    <t>KBS교향악단 제812회 정기연주회</t>
  </si>
  <si>
    <t>2025-03-21</t>
  </si>
  <si>
    <t>38</t>
  </si>
  <si>
    <t>강남심포니오케스트라 제109회 정기연주회</t>
  </si>
  <si>
    <t>2025-03-22</t>
  </si>
  <si>
    <t>39</t>
  </si>
  <si>
    <t>봄, 여름, 가을, 겨울</t>
  </si>
  <si>
    <t>2025-03-23</t>
  </si>
  <si>
    <t>40</t>
  </si>
  <si>
    <t>이아경 데뷔 30주년기념 콘서트 "마이웨이"</t>
  </si>
  <si>
    <t>2025-03-25</t>
  </si>
  <si>
    <t>41</t>
  </si>
  <si>
    <t>로맨틱 피아니즘: 쇼팽 &amp; 리스트</t>
  </si>
  <si>
    <t>2025-03-26</t>
  </si>
  <si>
    <t>42</t>
  </si>
  <si>
    <t>백건우와 모차르트 &lt;Program Ⅱ&gt;</t>
  </si>
  <si>
    <t>2025-03-27</t>
  </si>
  <si>
    <t>43</t>
  </si>
  <si>
    <t>KT와 함께하는 예술의전당 마음을 담은 클래식(3월)</t>
  </si>
  <si>
    <t>2025-03-28</t>
  </si>
  <si>
    <t>44</t>
  </si>
  <si>
    <t>르네 야콥스와 B'Rock 오케스트라</t>
  </si>
  <si>
    <t>2025-03-29</t>
  </si>
  <si>
    <t>45</t>
  </si>
  <si>
    <t>안드라스 쉬프 &amp; 카펠라 안드레아 바르카</t>
  </si>
  <si>
    <t>2025-03-30</t>
  </si>
  <si>
    <t>46</t>
  </si>
  <si>
    <t>2025 예술의전당 교향악축제 - 창원시립교향악단(4.1)</t>
  </si>
  <si>
    <t>2025-04-01</t>
  </si>
  <si>
    <t>47</t>
  </si>
  <si>
    <t>2025 예술의전당 교향악축제 - 인천시립교향악단(4.2)</t>
  </si>
  <si>
    <t>2025-04-02</t>
  </si>
  <si>
    <t>48</t>
  </si>
  <si>
    <t>2025 예술의전당 교향악축제 - 광주시립교향악단(4.3)</t>
  </si>
  <si>
    <t>2025-04-03</t>
  </si>
  <si>
    <t>49</t>
  </si>
  <si>
    <t>2025 예술의전당 교향악축제 - 수원시립교향악단(4.4)</t>
  </si>
  <si>
    <t>2025-04-04</t>
  </si>
  <si>
    <t>50</t>
  </si>
  <si>
    <t>2025 예술의전당 교향악축제 - 강릉시립교향악단(4.5)</t>
  </si>
  <si>
    <t>2025-04-05</t>
  </si>
  <si>
    <t>51</t>
  </si>
  <si>
    <t>2025 예술의전당 교향악축제 - KBS교향악단(4.6)</t>
  </si>
  <si>
    <t>2025-04-06</t>
  </si>
  <si>
    <t>52</t>
  </si>
  <si>
    <t>2025 예술의전당 교향악축제 - 강남심포니오케스트라(4.8)</t>
  </si>
  <si>
    <t>2025-04-08</t>
  </si>
  <si>
    <t>53</t>
  </si>
  <si>
    <t>2025 예술의전당 교향악축제 - 청주시립교향악단(4.9)</t>
  </si>
  <si>
    <t>2025-04-09</t>
  </si>
  <si>
    <t>54</t>
  </si>
  <si>
    <t>2025 예술의전당 교향악축제 - 국립심포니오케스트라(4.10)</t>
  </si>
  <si>
    <t>2025-04-10</t>
  </si>
  <si>
    <t>55</t>
  </si>
  <si>
    <t>2025 예술의전당 교향악축제 - 부천필하모닉오케스트라(4.11)</t>
  </si>
  <si>
    <t>2025-04-11</t>
  </si>
  <si>
    <t>56</t>
  </si>
  <si>
    <t>2025 예술의전당 교향악축제 - 대전시립교향악단(4.12)</t>
  </si>
  <si>
    <t>2025-04-12</t>
  </si>
  <si>
    <t>57</t>
  </si>
  <si>
    <t>2025 예술의전당 교향악축제 - 전주시립교향악단(4.13)</t>
  </si>
  <si>
    <t>2025-04-13</t>
  </si>
  <si>
    <t>58</t>
  </si>
  <si>
    <t>2025 예술의전당 교향악축제 - 제주특별자치도립제주교향악단(4.15)</t>
  </si>
  <si>
    <t>2025-04-15</t>
  </si>
  <si>
    <t>59</t>
  </si>
  <si>
    <t>2025 예술의전당 교향악축제 - 진주시립교향악단(4.16)</t>
  </si>
  <si>
    <t>2025-04-16</t>
  </si>
  <si>
    <t>60</t>
  </si>
  <si>
    <t>2025 예술의전당 교향악축제 - 부산시립교향악단(4.17)</t>
  </si>
  <si>
    <t>2025-04-17</t>
  </si>
  <si>
    <t>61</t>
  </si>
  <si>
    <t>2025 예술의전당 교향악축제 - 서울시립교향악단(4.18)</t>
  </si>
  <si>
    <t>2025-04-18</t>
  </si>
  <si>
    <t>62</t>
  </si>
  <si>
    <t>2025 예술의전당 교향악축제 - 대구시립교향악단(4.19)</t>
  </si>
  <si>
    <t>2025-04-19</t>
  </si>
  <si>
    <t>63</t>
  </si>
  <si>
    <t>2025 예술의전당 교향악축제 - 경기필하모닉오케스트라(4.20)</t>
  </si>
  <si>
    <t>2025-04-20</t>
  </si>
  <si>
    <t>64</t>
  </si>
  <si>
    <t>낭만주의 거장 &lt;라흐마니노프&gt;</t>
  </si>
  <si>
    <t>2025-04-22</t>
  </si>
  <si>
    <t>65</t>
  </si>
  <si>
    <t>한국교수콰이어 제19회 정기연주회</t>
  </si>
  <si>
    <t>2025-04-23</t>
  </si>
  <si>
    <t>66</t>
  </si>
  <si>
    <t>KT와 함께하는 예술의전당 마음을 담은 클래식(4월)</t>
  </si>
  <si>
    <t>2025-04-25</t>
  </si>
  <si>
    <t>67</t>
  </si>
  <si>
    <t>서울 심포닉 윈드 오케스트라 제5회 정기연주회</t>
  </si>
  <si>
    <t>2025-04-27</t>
  </si>
  <si>
    <t>68</t>
  </si>
  <si>
    <t>콜레기움 보칼레 서울의 헨델 메시아</t>
  </si>
  <si>
    <t>2025-04-29</t>
  </si>
  <si>
    <t>69</t>
  </si>
  <si>
    <t>프랑스 국립 오케스트라 내한공연(4.30)</t>
  </si>
  <si>
    <t>2025-04-30</t>
  </si>
  <si>
    <t>70</t>
  </si>
  <si>
    <t>크리스티안 테츨라프 바이올린 리사이틀</t>
  </si>
  <si>
    <t>2025-05-01</t>
  </si>
  <si>
    <t>71</t>
  </si>
  <si>
    <t>KBS교향악단 제813회 정기연주회</t>
  </si>
  <si>
    <t>2025-05-02</t>
  </si>
  <si>
    <t>72</t>
  </si>
  <si>
    <t>블라디미르 유롭스키 &amp; 베를린 방송교향악단</t>
  </si>
  <si>
    <t>2025-05-03</t>
  </si>
  <si>
    <t>73</t>
  </si>
  <si>
    <t>애니메이션 심포니 페스티벌</t>
  </si>
  <si>
    <t>2025-05-04</t>
  </si>
  <si>
    <t>74</t>
  </si>
  <si>
    <t>디 오리지널 시리즈 2025 베토벤 페노메논 with 임현정</t>
  </si>
  <si>
    <t>2025-05-06</t>
  </si>
  <si>
    <t>75</t>
  </si>
  <si>
    <t>디즈니 &amp; 픽사 OST 콘서트</t>
  </si>
  <si>
    <t>2025-05-07</t>
  </si>
  <si>
    <t>76</t>
  </si>
  <si>
    <t>한화생명과 함께하는 예술의전당 11시 콘서트(5월)</t>
  </si>
  <si>
    <t>2025-05-08</t>
  </si>
  <si>
    <t>77</t>
  </si>
  <si>
    <t>샤를 리샤르-아믈랭 피아노 리사이틀</t>
  </si>
  <si>
    <t>2025-05-09</t>
  </si>
  <si>
    <t>78</t>
  </si>
  <si>
    <t>필하모니코리아 정기연주회</t>
  </si>
  <si>
    <t>2025-05-10</t>
  </si>
  <si>
    <t>79</t>
  </si>
  <si>
    <t>브루스 리우 피아노 리사이틀</t>
  </si>
  <si>
    <t>2025-05-11</t>
  </si>
  <si>
    <t>2025-07-21~휴가</t>
  </si>
  <si>
    <t>80</t>
  </si>
  <si>
    <t>강남심포니오케스트라 제110회 정기연주회</t>
  </si>
  <si>
    <t>2025-05-13</t>
  </si>
  <si>
    <t>81</t>
  </si>
  <si>
    <t>(사)서울윈드오케스트라 제116회 정기연주회</t>
  </si>
  <si>
    <t>2025-05-14</t>
  </si>
  <si>
    <t>82</t>
  </si>
  <si>
    <t>2025 서울시향 드뷔시와 라벨 ①</t>
  </si>
  <si>
    <t>2025-05-15</t>
  </si>
  <si>
    <t>83</t>
  </si>
  <si>
    <t>2025 서울시향 드뷔시와 라벨 ②</t>
  </si>
  <si>
    <t>2025-05-16</t>
  </si>
  <si>
    <t>84</t>
  </si>
  <si>
    <t>IBK기업은행과 함께하는 예술의전당 토요콘서트(5월)</t>
  </si>
  <si>
    <t>2025-05-17</t>
  </si>
  <si>
    <t>85</t>
  </si>
  <si>
    <t>2025 희망콘서트</t>
  </si>
  <si>
    <t>2025-05-18</t>
  </si>
  <si>
    <t>86</t>
  </si>
  <si>
    <t>타카치 콰르텟 with 박혜상</t>
  </si>
  <si>
    <t>2025-05-20</t>
  </si>
  <si>
    <t>87</t>
  </si>
  <si>
    <t>이화여자대학교 음악대학 창립 100주년 기념 음악회</t>
  </si>
  <si>
    <t>2025-05-21</t>
  </si>
  <si>
    <t>88</t>
  </si>
  <si>
    <t>KBS교향악단 제814회 정기연주회</t>
  </si>
  <si>
    <t>2025-05-22</t>
  </si>
  <si>
    <t>89</t>
  </si>
  <si>
    <t>KT와 함께하는 예술의전당 마음을 담은 클래식(5월)</t>
  </si>
  <si>
    <t>2025-05-23</t>
  </si>
  <si>
    <t>90</t>
  </si>
  <si>
    <t>2025 서울시향 키릴 게르스타인의 브람스 피아노 협주곡 2번 ②</t>
  </si>
  <si>
    <t>2025-05-24</t>
  </si>
  <si>
    <t>91</t>
  </si>
  <si>
    <t>케빈 케너 with 아폴론 무사게테 콰르텟</t>
  </si>
  <si>
    <t>2025-05-25</t>
  </si>
  <si>
    <t>92</t>
  </si>
  <si>
    <t>콘체르토 마라톤 프로젝트 - 양성원의 첼로와 50년</t>
  </si>
  <si>
    <t>2025-05-27</t>
  </si>
  <si>
    <t>93</t>
  </si>
  <si>
    <t>낭만의 대조: 브람스와 차이콥스키</t>
  </si>
  <si>
    <t>2025-05-28</t>
  </si>
  <si>
    <t>94</t>
  </si>
  <si>
    <t>한재민 &amp; 알렉산더 말로페예프 듀오 리사이틀</t>
  </si>
  <si>
    <t>2025-05-29</t>
  </si>
  <si>
    <t>95</t>
  </si>
  <si>
    <t>경기필하모닉 2025 마스터즈 시리즈 III &lt;여행&gt;</t>
  </si>
  <si>
    <t>2025-05-30</t>
  </si>
  <si>
    <t>96</t>
  </si>
  <si>
    <t>캐나다 국립 아트센터 오케스트라 with 손열음</t>
  </si>
  <si>
    <t>2025-05-31</t>
  </si>
  <si>
    <t>97</t>
  </si>
  <si>
    <t>야쿠프 흐루샤 &amp; 밤베르크 심포니</t>
  </si>
  <si>
    <t>2025-06-01</t>
  </si>
  <si>
    <t>98</t>
  </si>
  <si>
    <t>미샤 마이스키 첼로 리사이틀</t>
  </si>
  <si>
    <t>2025-06-03</t>
  </si>
  <si>
    <t>99</t>
  </si>
  <si>
    <t>베하필하모닉 오케스트라 제15회 정기연주회</t>
  </si>
  <si>
    <t>2025-06-04</t>
  </si>
  <si>
    <t>100</t>
  </si>
  <si>
    <t>제22회 밀알 콘서트 with 이마에스트리</t>
  </si>
  <si>
    <t>2025-06-05</t>
  </si>
  <si>
    <t>101</t>
  </si>
  <si>
    <t>한화클래식 2025: 소프라노 파트리샤 프티봉과 아마릴리스 앙상블</t>
  </si>
  <si>
    <t>2025-06-06</t>
  </si>
  <si>
    <t>102</t>
  </si>
  <si>
    <t>서울바로크싱어즈 제26회 정기연주회</t>
  </si>
  <si>
    <t>2025-06-07</t>
  </si>
  <si>
    <t>103</t>
  </si>
  <si>
    <t>2025-06-08</t>
  </si>
  <si>
    <t>104</t>
  </si>
  <si>
    <t>중앙일보 창간 60주년 음악회</t>
  </si>
  <si>
    <t>2025-06-10</t>
  </si>
  <si>
    <t>105</t>
  </si>
  <si>
    <t>클라우스 메켈레 &amp; 파리 오케스트라</t>
  </si>
  <si>
    <t>2025-06-11</t>
  </si>
  <si>
    <t>106</t>
  </si>
  <si>
    <t>한화생명과 함께하는 예술의전당 11시 콘서트(6월)</t>
  </si>
  <si>
    <t>2025-06-12</t>
  </si>
  <si>
    <t>107</t>
  </si>
  <si>
    <t>국립심포니오케스트라 &lt;프로코피예프, 교향곡 5번&gt;</t>
  </si>
  <si>
    <t>2025-06-13</t>
  </si>
  <si>
    <t>108</t>
  </si>
  <si>
    <t>조성진 피아노 리사이틀 (14일)</t>
  </si>
  <si>
    <t>2025-06-14</t>
  </si>
  <si>
    <t>109</t>
  </si>
  <si>
    <t>미하일 플레트네프 피아노 리사이틀</t>
  </si>
  <si>
    <t>2025-06-15</t>
  </si>
  <si>
    <t>110</t>
  </si>
  <si>
    <t>조성진 피아노 리사이틀 (17일)</t>
  </si>
  <si>
    <t>2025-06-17</t>
  </si>
  <si>
    <t>111</t>
  </si>
  <si>
    <t>건반 위의 비르투오소</t>
  </si>
  <si>
    <t>2025-06-18</t>
  </si>
  <si>
    <t>112</t>
  </si>
  <si>
    <t>KT와 함께하는 예술의전당 마음을 담은 클래식(6월)</t>
  </si>
  <si>
    <t>2025-06-19</t>
  </si>
  <si>
    <t>113</t>
  </si>
  <si>
    <t>2025 서울시향 얍 판 츠베덴과 아우구스틴 하델리히 ②</t>
  </si>
  <si>
    <t>2025-06-20</t>
  </si>
  <si>
    <t>특이점없음 &lt;공연전 내부망한번더확인할것 오류발생가능성최소화)</t>
  </si>
  <si>
    <t>114</t>
  </si>
  <si>
    <t>IBK기업은행과 함께하는 예술의전당 토요콘서트(6월)</t>
  </si>
  <si>
    <t>2025-06-21</t>
  </si>
  <si>
    <t>115</t>
  </si>
  <si>
    <t>아디오스 피아졸라, 라이브 탱고</t>
  </si>
  <si>
    <t>2025-06-22</t>
  </si>
  <si>
    <t>116</t>
  </si>
  <si>
    <t>한일 국교 60주년기념 친선 첼로 콘서트 - ASIA CELLO FESTIVAL 2025</t>
  </si>
  <si>
    <t>2025-06-24</t>
  </si>
  <si>
    <t>공연전 장비상태확이여부 점검표 서버에올리기</t>
  </si>
  <si>
    <t>117</t>
  </si>
  <si>
    <t>한경arte필하모닉 더클래식2025 시리즈4</t>
  </si>
  <si>
    <t>2025-06-25</t>
  </si>
  <si>
    <t>118</t>
  </si>
  <si>
    <t>2025 서울시향 에드워드 가드너와 제임스 에네스 ①</t>
  </si>
  <si>
    <t>2025-06-26</t>
  </si>
  <si>
    <t>119</t>
  </si>
  <si>
    <t>에사페카 살로넨 &amp; 뉴욕 필하모닉 I</t>
  </si>
  <si>
    <t>2025-06-27</t>
  </si>
  <si>
    <t>120</t>
  </si>
  <si>
    <t>에사페카 살로넨 &amp; 뉴욕 필하모닉 II</t>
  </si>
  <si>
    <t>2025-06-28</t>
  </si>
  <si>
    <t>121</t>
  </si>
  <si>
    <t>임현정의 바흐 평균율 전곡 리사이틀</t>
  </si>
  <si>
    <t>2025-06-29</t>
  </si>
  <si>
    <t>122</t>
  </si>
  <si>
    <t>코리아남성합창단 제24회 정기연주회</t>
  </si>
  <si>
    <t>2025-07-02</t>
  </si>
  <si>
    <t>123</t>
  </si>
  <si>
    <t>실내악</t>
  </si>
  <si>
    <t>정명훈과 비르투오지</t>
  </si>
  <si>
    <t>2025-07-03</t>
  </si>
  <si>
    <t>124</t>
  </si>
  <si>
    <t>국립합창단 제202회 정기연주회 - 낭만주의 거장의 합창음악Ⅱ &lt;미사 글로리아&gt;</t>
  </si>
  <si>
    <t>2025-07-04</t>
  </si>
  <si>
    <t>125</t>
  </si>
  <si>
    <t>국립심포니오케스트라 &lt;라벨, `라 발스`&gt;</t>
  </si>
  <si>
    <t>2025-07-05</t>
  </si>
  <si>
    <t xml:space="preserve">공연 전 점검 확인필수 </t>
  </si>
  <si>
    <t>126</t>
  </si>
  <si>
    <t>고전과 낭만사이 &lt;베토벤&gt;</t>
  </si>
  <si>
    <t>2025-07-06</t>
  </si>
  <si>
    <t>127</t>
  </si>
  <si>
    <t>알리스 사라 오트 피아노 리사이틀 &lt;존 필드 &amp; 베토벤&gt;</t>
  </si>
  <si>
    <t>2025-07-08</t>
  </si>
  <si>
    <t>128</t>
  </si>
  <si>
    <t>클래식 빅3 콘서트</t>
  </si>
  <si>
    <t>2025-07-09</t>
  </si>
  <si>
    <t>129</t>
  </si>
  <si>
    <t>한화생명과 함께하는 예술의전당 11시 콘서트(7월)</t>
  </si>
  <si>
    <t>2025-07-10</t>
  </si>
  <si>
    <t>130</t>
  </si>
  <si>
    <t>대니 구〈SUMMER〉</t>
  </si>
  <si>
    <t>2025-07-11</t>
  </si>
  <si>
    <t>131</t>
  </si>
  <si>
    <t>성악</t>
  </si>
  <si>
    <t>KG필하모닉오케스트라 &lt;월드클래스 성악가시리즈 2025&gt;</t>
  </si>
  <si>
    <t>2025-07-12</t>
  </si>
  <si>
    <t>132</t>
  </si>
  <si>
    <t>고잉홈프로젝트: 라벨 시리즈 II. (세르게이 바바얀 협연)</t>
  </si>
  <si>
    <t>2025-07-13</t>
  </si>
  <si>
    <t>133</t>
  </si>
  <si>
    <t>현대카드 컬처프로젝트 30 손민수 &amp; 임윤찬</t>
  </si>
  <si>
    <t>2025-07-15</t>
  </si>
  <si>
    <t>134</t>
  </si>
  <si>
    <t>예술의전당 x 서울시립교향악단 : 송민규 &amp; 박수예 ON FIRE</t>
  </si>
  <si>
    <t>2025-07-17</t>
  </si>
  <si>
    <t>135</t>
  </si>
  <si>
    <t>KT와 함께하는 예술의전당 마음을 담은 클래식(7월)</t>
  </si>
  <si>
    <t>2025-07-18</t>
  </si>
  <si>
    <t>136</t>
  </si>
  <si>
    <t>IBK기업은행과 함께하는 예술의전당 토요콘서트(7월)</t>
  </si>
  <si>
    <t>2025-07-19</t>
  </si>
  <si>
    <t>137</t>
  </si>
  <si>
    <t>고잉홈프로젝트: 라벨 &amp; 쇼스타코비치</t>
  </si>
  <si>
    <t>2025-07-20</t>
  </si>
  <si>
    <t>138</t>
  </si>
  <si>
    <t>2025 예술의전당 국제음악제 - 로렌스 르네스 with SAC 페스티벌 오케스트라</t>
  </si>
  <si>
    <t>2025-08-05</t>
  </si>
  <si>
    <t>139</t>
  </si>
  <si>
    <t>2025 예술의전당 국제음악제 - 자난드레아 노세다 &amp; 클라라 주미 강 with 미국 내셔널 유스 오케스트라</t>
  </si>
  <si>
    <t>2025-08-06</t>
  </si>
  <si>
    <t>140</t>
  </si>
  <si>
    <t>2025 예술의전당 국제음악제 - 스티븐 이설리스 첼로 리사이틀 with 코니 시</t>
  </si>
  <si>
    <t>2025-08-08</t>
  </si>
  <si>
    <t>141</t>
  </si>
  <si>
    <t>2025 예술의전당 국제음악제 - 얀 리시에츠키 피아노 리사이틀</t>
  </si>
  <si>
    <t>2025-08-09</t>
  </si>
  <si>
    <t>142</t>
  </si>
  <si>
    <t>2025 예술의전당 국제음악제 - 로렌스 르네스 &amp; 얀 리시에츠키 with SAC 페스티벌 오케스트라</t>
  </si>
  <si>
    <t>2025-08-10</t>
  </si>
  <si>
    <t>143</t>
  </si>
  <si>
    <t>2025년 발트앙상블 10주년 콘서트</t>
  </si>
  <si>
    <t>2025-08-12</t>
  </si>
  <si>
    <t>144</t>
  </si>
  <si>
    <t>ARTBILITY_ 다림</t>
  </si>
  <si>
    <t>2025-08-13</t>
  </si>
  <si>
    <t>145</t>
  </si>
  <si>
    <t>한화생명과 함께하는 예술의전당 11시 콘서트(8월)</t>
  </si>
  <si>
    <t>2025-08-14</t>
  </si>
  <si>
    <t>146</t>
  </si>
  <si>
    <t>서울시립교향악단 광복 80주년 기념 음악회</t>
  </si>
  <si>
    <t>2025-08-15</t>
  </si>
  <si>
    <t>147</t>
  </si>
  <si>
    <t>IBK기업은행과 함께하는 예술의전당 토요콘서트(8월)</t>
  </si>
  <si>
    <t>2025-08-16</t>
  </si>
  <si>
    <t>148</t>
  </si>
  <si>
    <t>베이스 연광철 가곡 리사이틀</t>
  </si>
  <si>
    <t>2025-08-17</t>
  </si>
  <si>
    <t>149</t>
  </si>
  <si>
    <t>2025 교보 노블리에 콘서트</t>
  </si>
  <si>
    <t>2025-08-19</t>
  </si>
  <si>
    <t>150</t>
  </si>
  <si>
    <t>국립심포니오케스트라 아카데미 Colorful</t>
  </si>
  <si>
    <t>2025-08-20</t>
  </si>
  <si>
    <t>151</t>
  </si>
  <si>
    <t>광복 80주년 기념연주회 &lt;뮤지컬 영웅, 국립합창단과 만나다&gt;</t>
  </si>
  <si>
    <t>2025-08-21</t>
  </si>
  <si>
    <t>152</t>
  </si>
  <si>
    <t>랑데뷰 드 라 무지크 페스티벌 2025(08.22)</t>
  </si>
  <si>
    <t>2025-08-22</t>
  </si>
  <si>
    <t>153</t>
  </si>
  <si>
    <t>연광철 X 사무엘 윤 X 김기훈 &lt;싱 로우 앤 소프트&gt;</t>
  </si>
  <si>
    <t>2025-08-23</t>
  </si>
  <si>
    <t>154</t>
  </si>
  <si>
    <t>쇼팽, 리스트 그리고 파가니니</t>
  </si>
  <si>
    <t>2025-08-24</t>
  </si>
  <si>
    <t>155</t>
  </si>
  <si>
    <t>2025 힉엣눙크! 뮤직 페스티벌 - 세종솔로이스츠와 길 샤함 &amp; 아델 앤서니 &lt;슬퍼할 때와 춤출 때&gt;</t>
  </si>
  <si>
    <t>2025-08-26</t>
  </si>
  <si>
    <t>156</t>
  </si>
  <si>
    <t>복합장르</t>
  </si>
  <si>
    <t>2025 힉엣눙크! 뮤직 페스티벌 - 베르나르 베르베르 x 세종솔로이스츠 &lt;키메라의 시대&gt;</t>
  </si>
  <si>
    <t>2025-08-27</t>
  </si>
  <si>
    <t>157</t>
  </si>
  <si>
    <t>스미노 하야토 피아노 리사이틀</t>
  </si>
  <si>
    <t>2025-08-28</t>
  </si>
  <si>
    <t>158</t>
  </si>
  <si>
    <t>KBS교향악단 제817회 정기연주회</t>
  </si>
  <si>
    <t>2025-08-29</t>
  </si>
  <si>
    <t>159</t>
  </si>
  <si>
    <t>디즈니 판타지아 인 콘서트</t>
  </si>
  <si>
    <t>2025-08-30</t>
  </si>
  <si>
    <t>160</t>
  </si>
  <si>
    <t>히사이시 조 영화음악 콘서트 2025_서울(예술의전당)</t>
  </si>
  <si>
    <t>2025-08-31</t>
  </si>
  <si>
    <t>161</t>
  </si>
  <si>
    <t>어니스트 필하모닉 오케스트라 제7회 정기연주회 : "베토벤의 황제와 영웅"</t>
  </si>
  <si>
    <t>2025-09-03</t>
  </si>
  <si>
    <t>162</t>
  </si>
  <si>
    <t>국립심포니오케스트라 &lt;무소륵스키, `전람회의 그림`&gt;</t>
  </si>
  <si>
    <t>2025-09-05</t>
  </si>
  <si>
    <t>163</t>
  </si>
  <si>
    <t>카메라타 안티콰 서울 창단 20주년 기념연주회</t>
  </si>
  <si>
    <t>2025-09-06</t>
  </si>
  <si>
    <t>164</t>
  </si>
  <si>
    <t>첼리스타 첼로 앙상블 정기연주회 : CINEMA</t>
  </si>
  <si>
    <t>2025-09-07</t>
  </si>
  <si>
    <t>165</t>
  </si>
  <si>
    <t>강남심포니오케스트라 제111회 정기연주회</t>
  </si>
  <si>
    <t>2025-09-10</t>
  </si>
  <si>
    <t>166</t>
  </si>
  <si>
    <t>한화생명과 함께하는 예술의전당 11시 콘서트(9월)</t>
  </si>
  <si>
    <t>2025-09-11</t>
  </si>
  <si>
    <t>167</t>
  </si>
  <si>
    <t>코리안챔버오케스트라 창단 60주년 기념 베토벤 교향곡 전곡 연주 시리즈 Ⅵ</t>
  </si>
  <si>
    <t>2025-09-12</t>
  </si>
  <si>
    <t>168</t>
  </si>
  <si>
    <t>2025 예술의전당 회원음악회</t>
  </si>
  <si>
    <t>2025-09-13</t>
  </si>
  <si>
    <t>169</t>
  </si>
  <si>
    <t>베토벤과 브루크너</t>
  </si>
  <si>
    <t>2025-09-14</t>
  </si>
  <si>
    <t>공연축소(예)</t>
  </si>
  <si>
    <t>170</t>
  </si>
  <si>
    <t>앙상블의 향연 &lt;4色의 소리&gt;</t>
  </si>
  <si>
    <t>2025-09-16</t>
  </si>
  <si>
    <t>171</t>
  </si>
  <si>
    <t>정명훈 &amp; 라 스칼라 필하모닉</t>
  </si>
  <si>
    <t>2025-09-17</t>
  </si>
  <si>
    <t>172</t>
  </si>
  <si>
    <t>필리프 헤레베허 &amp; 콜레기움 보칼레 겐트 〈b단조 미사〉</t>
  </si>
  <si>
    <t>2025-09-18</t>
  </si>
  <si>
    <t>연기가능성있음</t>
  </si>
  <si>
    <t>173</t>
  </si>
  <si>
    <t>2025 IBK음악회</t>
  </si>
  <si>
    <t>2025-09-19</t>
  </si>
  <si>
    <t>1-2팀</t>
  </si>
  <si>
    <t>174</t>
  </si>
  <si>
    <t>IBK기업은행과 함께하는 예술의전당 토요콘서트(9월)</t>
  </si>
  <si>
    <t>2025-09-20</t>
  </si>
  <si>
    <t>1-3팀</t>
  </si>
  <si>
    <t>175</t>
  </si>
  <si>
    <t>율리아나 아브제예바 피아노 리사이틀</t>
  </si>
  <si>
    <t>2025-09-21</t>
  </si>
  <si>
    <t>176</t>
  </si>
  <si>
    <t>베토벤 &amp; 라흐마니노프</t>
  </si>
  <si>
    <t>2025-09-23</t>
  </si>
  <si>
    <t>177</t>
  </si>
  <si>
    <t>벨기에 국립 오케스트라 내한공연</t>
  </si>
  <si>
    <t>2025-09-24</t>
  </si>
  <si>
    <t>178</t>
  </si>
  <si>
    <t>KBS교향악단 제818회 정기연주회</t>
  </si>
  <si>
    <t>2025-09-25</t>
  </si>
  <si>
    <t>179</t>
  </si>
  <si>
    <t>KT와 함께하는 예술의전당 마음을 담은 클래식(9월)</t>
  </si>
  <si>
    <t>2025-09-26</t>
  </si>
  <si>
    <t>180</t>
  </si>
  <si>
    <t>대전시립교향악단 브람스에 물들다</t>
  </si>
  <si>
    <t>2025-09-27</t>
  </si>
  <si>
    <t>181</t>
  </si>
  <si>
    <t>마스터즈 시리즈 with 옌스 린데만</t>
  </si>
  <si>
    <t>2025-09-28</t>
  </si>
  <si>
    <t>182</t>
  </si>
  <si>
    <t>카운터테너 이동규 리사이틀 &lt;바로크로그&gt;</t>
  </si>
  <si>
    <t>2025-09-30</t>
  </si>
  <si>
    <t>183</t>
  </si>
  <si>
    <t>2025 서울시향 얍 판 츠베덴과 김봄소리 ①</t>
  </si>
  <si>
    <t>2025-10-01</t>
  </si>
  <si>
    <t>184</t>
  </si>
  <si>
    <t>2025 서울시향 얍 판 츠베덴과 김봄소리 ②</t>
  </si>
  <si>
    <t>2025-10-02</t>
  </si>
  <si>
    <t>185</t>
  </si>
  <si>
    <t>엔니오 모리꼬네 영화음악 콘서트 2025 WITH 라포엠</t>
  </si>
  <si>
    <t>2025-10-03</t>
  </si>
  <si>
    <t>186</t>
  </si>
  <si>
    <t>누오바오페라단 창단 20주년 기념 그란갈라콘서트</t>
  </si>
  <si>
    <t>2025-10-10</t>
  </si>
  <si>
    <t>187</t>
  </si>
  <si>
    <t>코랄레움 인 서울 - 합창명작 마주하기 프로젝트 V</t>
  </si>
  <si>
    <t>2025-10-11</t>
  </si>
  <si>
    <t>188</t>
  </si>
  <si>
    <t>다니엘 뮐러 쇼트 첼로 리사이틀</t>
  </si>
  <si>
    <t>2025-10-12</t>
  </si>
  <si>
    <t>yt</t>
  </si>
  <si>
    <t>공연전 확인사항</t>
  </si>
  <si>
    <t>189</t>
  </si>
  <si>
    <t>에드워드 가드너 &amp; 런던 필하모닉</t>
  </si>
  <si>
    <t>2025-10-14</t>
  </si>
  <si>
    <t>190</t>
  </si>
  <si>
    <t>에드워드 가드너 &amp; 런던 필하모닉 오케스트라</t>
  </si>
  <si>
    <t>2025-10-15</t>
  </si>
  <si>
    <t>점검내용 미흡하다함</t>
  </si>
  <si>
    <t>191</t>
  </si>
  <si>
    <t>한화생명과 함께하는 예술의전당 11시 콘서트(10월)</t>
  </si>
  <si>
    <t>2025-10-16</t>
  </si>
  <si>
    <t>192</t>
  </si>
  <si>
    <t>KBS교향악단 제819회 정기연주회</t>
  </si>
  <si>
    <t>2025-10-17</t>
  </si>
  <si>
    <t>193</t>
  </si>
  <si>
    <t>IBK기업은행과 함께하는 예술의전당 토요콘서트(10월)</t>
  </si>
  <si>
    <t>2025-10-18</t>
  </si>
  <si>
    <t>194</t>
  </si>
  <si>
    <t>리오 쿠오크만, 선우예권 &amp; 홍콩필하모닉오케스트라</t>
  </si>
  <si>
    <t>2025-10-19</t>
  </si>
  <si>
    <t>195</t>
  </si>
  <si>
    <t>구스타보 두다멜 &amp; 로스앤젤레스 필하모닉 I</t>
  </si>
  <si>
    <t>2025-10-21</t>
  </si>
  <si>
    <t>196</t>
  </si>
  <si>
    <t>구스타보 두다멜 &amp; 로스앤젤레스 필하모닉 II</t>
  </si>
  <si>
    <t>2025-10-22</t>
  </si>
  <si>
    <t>197</t>
  </si>
  <si>
    <t>2025 가을밤콘서트</t>
  </si>
  <si>
    <t>2025-10-23</t>
  </si>
  <si>
    <t>198</t>
  </si>
  <si>
    <t>라흐마니노프의 가을</t>
  </si>
  <si>
    <t>2025-10-24</t>
  </si>
  <si>
    <t>199</t>
  </si>
  <si>
    <t>경기필하모닉 2025 마스터즈 시리즈 V &lt;불멸&gt;</t>
  </si>
  <si>
    <t>2025-10-25</t>
  </si>
  <si>
    <t>200</t>
  </si>
  <si>
    <t>말러리안 시리즈 8</t>
  </si>
  <si>
    <t>2025-10-26</t>
  </si>
  <si>
    <t>201</t>
  </si>
  <si>
    <t>세묜 비치코프 ＆ 체코 필하모닉 Ⅰ</t>
  </si>
  <si>
    <t>2025-10-28</t>
  </si>
  <si>
    <t>202</t>
  </si>
  <si>
    <t>국립합창단 제204회 정기연주회 - 낭만주의 거장의 합창음악Ⅳ &lt;미사 솔렘니스&gt;</t>
  </si>
  <si>
    <t>2025-10-29</t>
  </si>
  <si>
    <t>203</t>
  </si>
  <si>
    <t>낭만주의 거장 &lt;차이코프스키 &amp; 라흐마니노프&gt;</t>
  </si>
  <si>
    <t>2025-10-30</t>
  </si>
  <si>
    <t>204</t>
  </si>
  <si>
    <t>KT와 함께하는 예술의전당 마음을 담은 클래식(10월)</t>
  </si>
  <si>
    <t>2025-10-31</t>
  </si>
  <si>
    <t>205</t>
  </si>
  <si>
    <t>국립심포니오케스트라 &lt;브루크너, 교향곡 4번&gt;</t>
  </si>
  <si>
    <t>2025-11-01</t>
  </si>
  <si>
    <t>206</t>
  </si>
  <si>
    <t>2025 서울국제음악제 ‘SIMF현악오케스트라의 왈츠’</t>
  </si>
  <si>
    <t>2025-11-02</t>
  </si>
  <si>
    <t>207</t>
  </si>
  <si>
    <t>제17회 세일 한국가곡의 밤</t>
  </si>
  <si>
    <t>2025-11-04</t>
  </si>
  <si>
    <t>208</t>
  </si>
  <si>
    <t>클라우스 메켈레 &amp; 로열 콘세르트헤바우 오케스트라(11.5)</t>
  </si>
  <si>
    <t>2025-11-05</t>
  </si>
  <si>
    <t>209</t>
  </si>
  <si>
    <t>2025 서울국제음악제 폐막음악회 ‘SIMF오케스트라 with 키릴 카라비츠’</t>
  </si>
  <si>
    <t>2025-11-06</t>
  </si>
  <si>
    <t>210</t>
  </si>
  <si>
    <t>키릴 페트렌코 &amp; 베를린 필하모닉 (11.7)</t>
  </si>
  <si>
    <t>2025-11-07</t>
  </si>
  <si>
    <t>211</t>
  </si>
  <si>
    <t>키릴 페트렌코 &amp; 베를린 필하모닉 (11.8)</t>
  </si>
  <si>
    <t>2025-11-08</t>
  </si>
  <si>
    <t>212</t>
  </si>
  <si>
    <t>키릴 페트렌코 &amp; 베를린 필하모닉 (11.9)</t>
  </si>
  <si>
    <t>2025-11-09</t>
  </si>
  <si>
    <t>213</t>
  </si>
  <si>
    <t>파벨 하스 콰르텟</t>
  </si>
  <si>
    <t>2025-11-11</t>
  </si>
  <si>
    <t>214</t>
  </si>
  <si>
    <t>과천시립교향악단 콘서트시리즈 5</t>
  </si>
  <si>
    <t>2025-11-12</t>
  </si>
  <si>
    <t>215</t>
  </si>
  <si>
    <t>한화생명과 함께하는 예술의전당 11시 콘서트(11월)</t>
  </si>
  <si>
    <t>2025-11-13</t>
  </si>
  <si>
    <t>216</t>
  </si>
  <si>
    <t>오귀스땅 뒤메이 바이올린 리사이틀</t>
  </si>
  <si>
    <t>2025-11-14</t>
  </si>
  <si>
    <t>217</t>
  </si>
  <si>
    <t>콘서트 오페라 &lt;라 트라비아타 &amp; 카르멘 &amp; 라 보엠&gt;</t>
  </si>
  <si>
    <t>2025-11-15</t>
  </si>
  <si>
    <t>218</t>
  </si>
  <si>
    <t>KT와 함께하는 예술의전당 마음을 담은 클래식(11월)</t>
  </si>
  <si>
    <t>2025-11-16</t>
  </si>
  <si>
    <t>219</t>
  </si>
  <si>
    <t>2025 빈 필하모닉 내한공연</t>
  </si>
  <si>
    <t>2025-11-18</t>
  </si>
  <si>
    <t>220</t>
  </si>
  <si>
    <t>2025-11-19</t>
  </si>
  <si>
    <t>221</t>
  </si>
  <si>
    <t>2025-11-20</t>
  </si>
  <si>
    <t>222</t>
  </si>
  <si>
    <t>2025 반 클라이번 콩쿠르 골드메달리스트 위너스 콘서트 : 아리스토 샴 피아노 리사이틀</t>
  </si>
  <si>
    <t>2025-11-21</t>
  </si>
  <si>
    <t>223</t>
  </si>
  <si>
    <t>IBK기업은행과 함께하는 예술의전당 토요콘서트(11월)</t>
  </si>
  <si>
    <t>2025-11-22</t>
  </si>
  <si>
    <t>224</t>
  </si>
  <si>
    <t>미도리 바이올린 리사이틀</t>
  </si>
  <si>
    <t>2025-11-23</t>
  </si>
  <si>
    <t>225</t>
  </si>
  <si>
    <t>정명훈 실내악 콘서트 with 양인모, 지안 왕, 디미트리 무라스</t>
  </si>
  <si>
    <t>2025-11-25</t>
  </si>
  <si>
    <t>226</t>
  </si>
  <si>
    <t>제19회 쇼팽 국제 피아노 콩쿠르 위너스 콘서트</t>
  </si>
  <si>
    <t>2025-11-26</t>
  </si>
  <si>
    <t>227</t>
  </si>
  <si>
    <t>2025 서울시향 얍 판 츠베덴과 이매뉴얼 액스 ①</t>
  </si>
  <si>
    <t>2025-11-27</t>
  </si>
  <si>
    <t>228</t>
  </si>
  <si>
    <t>건반 위의 비르투오소 Ⅱ</t>
  </si>
  <si>
    <t>2025-11-28</t>
  </si>
  <si>
    <t>229</t>
  </si>
  <si>
    <t>강남심포니오케스트라 제112회 정기연주회</t>
  </si>
  <si>
    <t>2025-11-29</t>
  </si>
  <si>
    <t>230</t>
  </si>
  <si>
    <t>신창용 피아노 리사이틀</t>
  </si>
  <si>
    <t>2025-11-30</t>
  </si>
  <si>
    <t>231</t>
  </si>
  <si>
    <t>2025 장애인식개선을 위한 하트 투 하트 콘서트</t>
  </si>
  <si>
    <t>2025-12-02</t>
  </si>
  <si>
    <t>232</t>
  </si>
  <si>
    <t>현대해상 창립 70주년 기념 음악회</t>
  </si>
  <si>
    <t>2025-12-03</t>
  </si>
  <si>
    <t>233</t>
  </si>
  <si>
    <t>다니엘 하딩 &amp; 산타 체칠리아 오케스트라</t>
  </si>
  <si>
    <t>2025-12-04</t>
  </si>
  <si>
    <t>234</t>
  </si>
  <si>
    <t>신한은행과 함께하는 장기거래 우수고객 초청공연</t>
  </si>
  <si>
    <t>2025-12-05</t>
  </si>
  <si>
    <t>235</t>
  </si>
  <si>
    <t>국립심포니오케스트라 &lt;쇼스타코비치, 교향곡 11번&gt;</t>
  </si>
  <si>
    <t>2025-12-06</t>
  </si>
  <si>
    <t>236</t>
  </si>
  <si>
    <t>산투 마티아스 루발리 &amp; 필하모니아 오케스트라</t>
  </si>
  <si>
    <t>2025-12-07</t>
  </si>
  <si>
    <t>237</t>
  </si>
  <si>
    <t>서울모테트합창단 제130회 정기연주회</t>
  </si>
  <si>
    <t>2025-12-09</t>
  </si>
  <si>
    <t>238</t>
  </si>
  <si>
    <t>LG와 함께하는 제20회 서울국제음악콩쿠르 (결선)</t>
  </si>
  <si>
    <t>2025-12-10</t>
  </si>
  <si>
    <t>239</t>
  </si>
  <si>
    <t>한화생명과 함께하는 예술의전당 11시 콘서트(12월)</t>
  </si>
  <si>
    <t>2025-12-11</t>
  </si>
  <si>
    <t>240</t>
  </si>
  <si>
    <t>경기필하모닉 2025 마스터즈 시리즈 VI &lt;비창&gt;</t>
  </si>
  <si>
    <t>2025-12-12</t>
  </si>
  <si>
    <t>241</t>
  </si>
  <si>
    <t>코리안챔버오케스트라 창단 60주년 기념 베토벤 교향곡 전곡 연주 시리즈 Ⅷ</t>
  </si>
  <si>
    <t>2025-12-13</t>
  </si>
  <si>
    <t>242</t>
  </si>
  <si>
    <t>빈체로 창립 30주년 기념음악회</t>
  </si>
  <si>
    <t>2025-12-14</t>
  </si>
  <si>
    <t>243</t>
  </si>
  <si>
    <t>국립합창단 제205회 정기연주회 &lt;Händel, Messiah&gt;</t>
  </si>
  <si>
    <t>2025-12-16</t>
  </si>
  <si>
    <t>244</t>
  </si>
  <si>
    <t>백건우 &amp; 이 무지치</t>
  </si>
  <si>
    <t>2025-12-17</t>
  </si>
  <si>
    <t>245</t>
  </si>
  <si>
    <t>2025 서울시향 얍 판 츠베덴의 베토벤 ‘합창’ ①</t>
  </si>
  <si>
    <t>2025-12-18</t>
  </si>
  <si>
    <t>246</t>
  </si>
  <si>
    <t>2025 필하모닉스 내한공연</t>
  </si>
  <si>
    <t>2025-12-19</t>
  </si>
  <si>
    <t>247</t>
  </si>
  <si>
    <t>IBK기업은행과 함께하는 예술의전당 토요콘서트(12월)</t>
  </si>
  <si>
    <t>2025-12-20</t>
  </si>
  <si>
    <t>248</t>
  </si>
  <si>
    <t>파리나무십자가소년합창단 크리스마스특별초청공연</t>
  </si>
  <si>
    <t>2025-12-21</t>
  </si>
  <si>
    <t>249</t>
  </si>
  <si>
    <t>키릴 게르스타인 피아노 리사이틀</t>
  </si>
  <si>
    <t>2025-12-23</t>
  </si>
  <si>
    <t>250</t>
  </si>
  <si>
    <t>유키 구라모토 크리스마스 콘서트</t>
  </si>
  <si>
    <t>2025-12-24</t>
  </si>
  <si>
    <t>251</t>
  </si>
  <si>
    <t>조수미 크리스마스 콘서트 〈My Secret Christmas〉</t>
  </si>
  <si>
    <t>2025-12-25</t>
  </si>
  <si>
    <t>252</t>
  </si>
  <si>
    <t>리처드 용재 오닐 &amp; 제레미 덴크 듀오 리사이틀</t>
  </si>
  <si>
    <t>2025-12-26</t>
  </si>
  <si>
    <t>253</t>
  </si>
  <si>
    <t>KBS교향악단 제821회 정기연주회</t>
  </si>
  <si>
    <t>2025-12-27</t>
  </si>
  <si>
    <t>254</t>
  </si>
  <si>
    <t>고잉홈프로젝트: 라벨 시리즈 Finale. (니콜라스 맥카시 협연)</t>
  </si>
  <si>
    <t>2025-12-28</t>
  </si>
  <si>
    <t>255</t>
  </si>
  <si>
    <t>강남심포니오케스트라 제113회 정기연주회</t>
  </si>
  <si>
    <t>2025-12-30</t>
  </si>
  <si>
    <t>256</t>
  </si>
  <si>
    <t>2025 예술의전당 제야음악회</t>
  </si>
  <si>
    <t>2025-12-31</t>
  </si>
  <si>
    <t>257</t>
  </si>
  <si>
    <t>송영민 피아노 독주회</t>
  </si>
  <si>
    <t>2025-01-10</t>
  </si>
  <si>
    <t>IBK기업은행챔버홀</t>
  </si>
  <si>
    <t>258</t>
  </si>
  <si>
    <t>독주</t>
  </si>
  <si>
    <t>스베틀린 루세브 무반주 바이올린 리사이틀 I. 이자이</t>
  </si>
  <si>
    <t>259</t>
  </si>
  <si>
    <t>스베틀린 루세브 무반주 바이올린 리사이틀 II. 파가니니</t>
  </si>
  <si>
    <t>260</t>
  </si>
  <si>
    <t>윤여훈 첼로 독주회</t>
  </si>
  <si>
    <t>261</t>
  </si>
  <si>
    <t>유이삭 더블베이스 독주회</t>
  </si>
  <si>
    <t>2025-01-31</t>
  </si>
  <si>
    <t>262</t>
  </si>
  <si>
    <t>서울브라스사운드 제2회 정기연주회</t>
  </si>
  <si>
    <t>263</t>
  </si>
  <si>
    <t>소프라노 김정아 독창회</t>
  </si>
  <si>
    <t>264</t>
  </si>
  <si>
    <t>럿거스 콰르텟 정기연주회</t>
  </si>
  <si>
    <t>265</t>
  </si>
  <si>
    <t>백향민 트럼펫 독주회</t>
  </si>
  <si>
    <t>266</t>
  </si>
  <si>
    <t>2025 온드림 콘서트 I</t>
  </si>
  <si>
    <t>2025-02-05</t>
  </si>
  <si>
    <t>267</t>
  </si>
  <si>
    <t>2025 온드림 콘서트 II</t>
  </si>
  <si>
    <t>2025-02-06</t>
  </si>
  <si>
    <t>268</t>
  </si>
  <si>
    <t>2025 에스트로 앙상블 콘서트</t>
  </si>
  <si>
    <t>2025-02-07</t>
  </si>
  <si>
    <t>269</t>
  </si>
  <si>
    <t>임재성 이유현 듀오 리사이틀</t>
  </si>
  <si>
    <t>270</t>
  </si>
  <si>
    <t>전인홍 바이올린 독주회</t>
  </si>
  <si>
    <t>271</t>
  </si>
  <si>
    <t>Opus Chamber Society 정기연주회</t>
  </si>
  <si>
    <t>272</t>
  </si>
  <si>
    <t>정태진 귀국 트럼펫 독주회</t>
  </si>
  <si>
    <t>273</t>
  </si>
  <si>
    <t>이현웅 바이올린 독주회</t>
  </si>
  <si>
    <t>274</t>
  </si>
  <si>
    <t>최송하 바이올린 리사이틀</t>
  </si>
  <si>
    <t>275</t>
  </si>
  <si>
    <t>앙상블 클랑 정기연주회</t>
  </si>
  <si>
    <t>276</t>
  </si>
  <si>
    <t>신성희 바이올린 독주회</t>
  </si>
  <si>
    <t>277</t>
  </si>
  <si>
    <t>앙상블 에스프리 제8회 정기연주회</t>
  </si>
  <si>
    <t>278</t>
  </si>
  <si>
    <t>제13회 아니마 체임버 정기연주회</t>
  </si>
  <si>
    <t>279</t>
  </si>
  <si>
    <t>크라스 앙상블 두번째 연주회</t>
  </si>
  <si>
    <t>280</t>
  </si>
  <si>
    <t>서울 윈터 뮤직 페스티벌 0220</t>
  </si>
  <si>
    <t>281</t>
  </si>
  <si>
    <t>서울 윈터 뮤직 페스티벌 0221</t>
  </si>
  <si>
    <t>282</t>
  </si>
  <si>
    <t>서울 윈터 뮤직 페스티벌 0222</t>
  </si>
  <si>
    <t>283</t>
  </si>
  <si>
    <t>비올리스트 김규리 초청 독주회</t>
  </si>
  <si>
    <t>284</t>
  </si>
  <si>
    <t>아트파파라치 - Chasing the Stars</t>
  </si>
  <si>
    <t>285</t>
  </si>
  <si>
    <t>코리안아츠 브라스 정기연주회</t>
  </si>
  <si>
    <t>286</t>
  </si>
  <si>
    <t>박창수의 프리뮤직 - 침묵을 자유롭게 하다 III</t>
  </si>
  <si>
    <t>287</t>
  </si>
  <si>
    <t>국립심포니오케스트라 실내악 시리즈 1</t>
  </si>
  <si>
    <t>288</t>
  </si>
  <si>
    <t>테너 박성원 독창회</t>
  </si>
  <si>
    <t>289</t>
  </si>
  <si>
    <t>강윤지 비올라 독주회</t>
  </si>
  <si>
    <t>2025-03-01</t>
  </si>
  <si>
    <t>290</t>
  </si>
  <si>
    <t>클로리스 피아노 트리오 제9회 정기연주회 - 베토벤 피아노 트리오 전곡시리즈 III</t>
  </si>
  <si>
    <t>291</t>
  </si>
  <si>
    <t>임동민 &amp; 최형록 듀오 리사이틀</t>
  </si>
  <si>
    <t>2025-03-04</t>
  </si>
  <si>
    <t>292</t>
  </si>
  <si>
    <t>이수민 비올라 리사이틀 : Appassionata!</t>
  </si>
  <si>
    <t>2025-03-05</t>
  </si>
  <si>
    <t>293</t>
  </si>
  <si>
    <t>테너 이재식 독창회</t>
  </si>
  <si>
    <t>2025-03-06</t>
  </si>
  <si>
    <t>294</t>
  </si>
  <si>
    <t>성재창 트럼펫 독주회</t>
  </si>
  <si>
    <t>295</t>
  </si>
  <si>
    <t>Balken Percussion’ 창단연주회</t>
  </si>
  <si>
    <t>296</t>
  </si>
  <si>
    <t>해피버스데이 피아졸라 - 쿠아트로시엔토스</t>
  </si>
  <si>
    <t>297</t>
  </si>
  <si>
    <t>토너스 트리오 &lt;드보르작&gt;</t>
  </si>
  <si>
    <t>298</t>
  </si>
  <si>
    <t>소프라노 김성은 독창회</t>
  </si>
  <si>
    <t>2025-03-12</t>
  </si>
  <si>
    <t>299</t>
  </si>
  <si>
    <t>Quartet S 제8회 정기연주회</t>
  </si>
  <si>
    <t>300</t>
  </si>
  <si>
    <t>프로젝트 솔로이스츠와 함께하는 화이트데이 콘서트</t>
  </si>
  <si>
    <t>301</t>
  </si>
  <si>
    <t>코리안 브라스 앙상블의 다이얼로그 6</t>
  </si>
  <si>
    <t>302</t>
  </si>
  <si>
    <t>이정란 첼로 리사이틀 &lt;애가&gt;</t>
  </si>
  <si>
    <t>303</t>
  </si>
  <si>
    <t>베이스 장영근 독창회</t>
  </si>
  <si>
    <t>304</t>
  </si>
  <si>
    <t>베이스 이승희 독창회</t>
  </si>
  <si>
    <t>305</t>
  </si>
  <si>
    <t>Clara, Robert, Johannes - The Trio</t>
  </si>
  <si>
    <t>306</t>
  </si>
  <si>
    <t>소프라노 구은경 독창회</t>
  </si>
  <si>
    <t>307</t>
  </si>
  <si>
    <t>테너 홍민섭 독창회</t>
  </si>
  <si>
    <t>308</t>
  </si>
  <si>
    <t>파체 Romeo and Juliet</t>
  </si>
  <si>
    <t>309</t>
  </si>
  <si>
    <t>문화소외계층을 위한 멜로디재단과 함께하는 김대연 첼로 리사이틀</t>
  </si>
  <si>
    <t>310</t>
  </si>
  <si>
    <t>목관오중주 디베르 앙상블 두번째 연주회</t>
  </si>
  <si>
    <t>311</t>
  </si>
  <si>
    <t>피아니스트 김경아 초청 독주회</t>
  </si>
  <si>
    <t>312</t>
  </si>
  <si>
    <t>류이치 사카모토 트리뷰트 콘서트</t>
  </si>
  <si>
    <t>313</t>
  </si>
  <si>
    <t>베이스 임철민, 음악 그리고 인생</t>
  </si>
  <si>
    <t>314</t>
  </si>
  <si>
    <t>2025년 뮤지카 유포늄 튜바 앙상블 정기연주회</t>
  </si>
  <si>
    <t>315</t>
  </si>
  <si>
    <t>서울챔버오케스트라 제102회 정기연주회</t>
  </si>
  <si>
    <t>316</t>
  </si>
  <si>
    <t>최은식 비올라 독주회</t>
  </si>
  <si>
    <t>317</t>
  </si>
  <si>
    <t>홍의연 바이올린 독주회</t>
  </si>
  <si>
    <t>318</t>
  </si>
  <si>
    <t>홍은선 첼로 독주회</t>
  </si>
  <si>
    <t>319</t>
  </si>
  <si>
    <t>소프라노 손가슬 독창회</t>
  </si>
  <si>
    <t>320</t>
  </si>
  <si>
    <t>앙상블오푸스: 봄의 향연, 류재준과 브람스</t>
  </si>
  <si>
    <t>321</t>
  </si>
  <si>
    <t>SUDA`s 29th Concert</t>
  </si>
  <si>
    <t>322</t>
  </si>
  <si>
    <t>아카데미 열정과 나눔, RE &amp; NEW 프로젝트2 다양성의 조화I</t>
  </si>
  <si>
    <t>323</t>
  </si>
  <si>
    <t>솔루스 오브 서울 브라스 제6회 정기연주회</t>
  </si>
  <si>
    <t>324</t>
  </si>
  <si>
    <t>소프라노 이결 독창회</t>
  </si>
  <si>
    <t>325</t>
  </si>
  <si>
    <t>한일 국교정상화 60주년 기념 연주 - 안종도 &amp; 에나 우오타니 듀오 리사이틀</t>
  </si>
  <si>
    <t>326</t>
  </si>
  <si>
    <t>피아니스트 최희연 베토벤 전곡 음반 발매 기념 리사이틀</t>
  </si>
  <si>
    <t>327</t>
  </si>
  <si>
    <t>김세준 비올라 리사이틀</t>
  </si>
  <si>
    <t>328</t>
  </si>
  <si>
    <t>멘델스존, 바흐를 만나다</t>
  </si>
  <si>
    <t>329</t>
  </si>
  <si>
    <t>바이올리니스트 윤유경의 콘체르토 시리즈 3 - 비발디</t>
  </si>
  <si>
    <t>330</t>
  </si>
  <si>
    <t>Spirit of SNU Strings XIII</t>
  </si>
  <si>
    <t>331</t>
  </si>
  <si>
    <t>화음챔버오케스트라 `현장음악2002`</t>
  </si>
  <si>
    <t>332</t>
  </si>
  <si>
    <t>소프라노 김유미 리사이틀</t>
  </si>
  <si>
    <t>333</t>
  </si>
  <si>
    <t>전재성 바이올린 독주회</t>
  </si>
  <si>
    <t>334</t>
  </si>
  <si>
    <t>최경은 첼로 독주회</t>
  </si>
  <si>
    <t>335</t>
  </si>
  <si>
    <t>베이스 김대영 독창회</t>
  </si>
  <si>
    <t>336</t>
  </si>
  <si>
    <t>가온 솔로이스츠 제5회 정기연주회</t>
  </si>
  <si>
    <t>337</t>
  </si>
  <si>
    <t>2025 서울스프링실내악축제 개막 공연</t>
  </si>
  <si>
    <t>338</t>
  </si>
  <si>
    <t>2025 서울스프링실내악축제 0423</t>
  </si>
  <si>
    <t>339</t>
  </si>
  <si>
    <t>2025 서울스프링실내악축제 0424</t>
  </si>
  <si>
    <t>2025-04-24</t>
  </si>
  <si>
    <t>340</t>
  </si>
  <si>
    <t>2025 서울스프링실내악축제 0425</t>
  </si>
  <si>
    <t>341</t>
  </si>
  <si>
    <t>바흐솔리스텐서울 창단 20주년 기념음악회 - I</t>
  </si>
  <si>
    <t>2025-04-26</t>
  </si>
  <si>
    <t>342</t>
  </si>
  <si>
    <t>2025 서울스프링실내악축제 0426</t>
  </si>
  <si>
    <t>343</t>
  </si>
  <si>
    <t>2025 서울스프링실내악축제 0427</t>
  </si>
  <si>
    <t>344</t>
  </si>
  <si>
    <t>김호정 첼로 독주회</t>
  </si>
  <si>
    <t>345</t>
  </si>
  <si>
    <t>제9회 성신 피아노 소사이어티 정기연주회</t>
  </si>
  <si>
    <t>346</t>
  </si>
  <si>
    <t>김영욱&amp;김다솔 듀오 리사이틀</t>
  </si>
  <si>
    <t>347</t>
  </si>
  <si>
    <t>2025 서울스프링실내악축제 0502</t>
  </si>
  <si>
    <t>348</t>
  </si>
  <si>
    <t>어린이 음악회 - 목관오중주로 듣는 피터와 늑대</t>
  </si>
  <si>
    <t>349</t>
  </si>
  <si>
    <t>2025 서울스프링실내악축제 0503</t>
  </si>
  <si>
    <t>350</t>
  </si>
  <si>
    <t>2025 서울스프링실내악축제 폐막 공연</t>
  </si>
  <si>
    <t>351</t>
  </si>
  <si>
    <t>클래시칸 앙상블의 시그니처 콘서트</t>
  </si>
  <si>
    <t>352</t>
  </si>
  <si>
    <t>김유경 바이올린 독주회</t>
  </si>
  <si>
    <t>353</t>
  </si>
  <si>
    <t>IBK기업은행 WIN CLASS 고객사랑 음악회</t>
  </si>
  <si>
    <t>354</t>
  </si>
  <si>
    <t>2025 메세나 콘서트</t>
  </si>
  <si>
    <t>355</t>
  </si>
  <si>
    <t>코리안챔버오케스트라 창단 60주년 기념 베토벤 교향곡 전곡 연주 시리즈 III</t>
  </si>
  <si>
    <t>356</t>
  </si>
  <si>
    <t>그리스 로마 신화, 클래식을 만나다</t>
  </si>
  <si>
    <t>357</t>
  </si>
  <si>
    <t>김광군 바이올린 독주회</t>
  </si>
  <si>
    <t>358</t>
  </si>
  <si>
    <t>아름다운 물방아간 아가씨</t>
  </si>
  <si>
    <t>359</t>
  </si>
  <si>
    <t>일리야 라쉬코프스키 피아노 리사이틀 ‘Mozart, Prokofiev’</t>
  </si>
  <si>
    <t>360</t>
  </si>
  <si>
    <t>박진우 슈베르트 피아노 전곡 시리즈 VI</t>
  </si>
  <si>
    <t>361</t>
  </si>
  <si>
    <t>3 Cellos Initiative Project I</t>
  </si>
  <si>
    <t>362</t>
  </si>
  <si>
    <t>오페라가 들리는 48시간 이탈리아 여행</t>
  </si>
  <si>
    <t>363</t>
  </si>
  <si>
    <t>2025 앙상블 에클라 정기연주회</t>
  </si>
  <si>
    <t>364</t>
  </si>
  <si>
    <t>바이올리니스트 백주영의 모차르트/슈베르트 전곡 시리즈 IV</t>
  </si>
  <si>
    <t>365</t>
  </si>
  <si>
    <t>웨스턴성악협회 창단연주회</t>
  </si>
  <si>
    <t>366</t>
  </si>
  <si>
    <t>테너 김효종 독창회</t>
  </si>
  <si>
    <t>367</t>
  </si>
  <si>
    <t>제16회 한국플루트협회 정기연주회</t>
  </si>
  <si>
    <t>368</t>
  </si>
  <si>
    <t>프리다 칼로, 자클린 뒤 프레를 만나다</t>
  </si>
  <si>
    <t>369</t>
  </si>
  <si>
    <t>조현근 바로크 첼로 독주회</t>
  </si>
  <si>
    <t>370</t>
  </si>
  <si>
    <t>콜레기움 무지쿰 서울 제8회 정기연주회</t>
  </si>
  <si>
    <t>371</t>
  </si>
  <si>
    <t>콰르텟21과 함께 하는 클래식의 스마트한 선택 시리즈 Ⅲ</t>
  </si>
  <si>
    <t>372</t>
  </si>
  <si>
    <t>트리오 콘 스피리토 제22회 정기연주회</t>
  </si>
  <si>
    <t>373</t>
  </si>
  <si>
    <t>프로젝트 K "Regather"</t>
  </si>
  <si>
    <t>374</t>
  </si>
  <si>
    <t>앙상블블랭크 작곡가는 살아있다 IV</t>
  </si>
  <si>
    <t>375</t>
  </si>
  <si>
    <t>제2회 퍼커션 플러스 앙상블 정기연주회</t>
  </si>
  <si>
    <t>376</t>
  </si>
  <si>
    <t>부윤정 첼로 리사이틀</t>
  </si>
  <si>
    <t>377</t>
  </si>
  <si>
    <t>국립심포니오케스트라 아카데미 &amp; 아벨 콰르텟 &lt;Hommage à Bach – 바흐에게 바치는 헌사&gt;</t>
  </si>
  <si>
    <t>378</t>
  </si>
  <si>
    <t>바쓰만 콰르텟 정기연주회</t>
  </si>
  <si>
    <t>379</t>
  </si>
  <si>
    <t>본 솔로이스츠 제6회 정기연주회</t>
  </si>
  <si>
    <t>380</t>
  </si>
  <si>
    <t>215회 R. Schumann 생일에 MdHk</t>
  </si>
  <si>
    <t>381</t>
  </si>
  <si>
    <t>서지수 피아노 독주회</t>
  </si>
  <si>
    <t>382</t>
  </si>
  <si>
    <t>위 솔로이스츠 제30회 정기연주회</t>
  </si>
  <si>
    <t>383</t>
  </si>
  <si>
    <t>사)한국페스티발앙상블 제79회 정기연주회</t>
  </si>
  <si>
    <t>384</t>
  </si>
  <si>
    <t>최인혁 트럼펫 리사이틀</t>
  </si>
  <si>
    <t>385</t>
  </si>
  <si>
    <t>아보비태챔버오케스트라 - 스토리 클래식 (바로크에서 현대까지)</t>
  </si>
  <si>
    <t>386</t>
  </si>
  <si>
    <t>드미트리 마슬레예프 피아노 리사이틀 I</t>
  </si>
  <si>
    <t>387</t>
  </si>
  <si>
    <t>드미트리 마슬레예프 피아노 리사이틀 II</t>
  </si>
  <si>
    <t>388</t>
  </si>
  <si>
    <t>테너 김민석 리사이틀 - 크레센도</t>
  </si>
  <si>
    <t>389</t>
  </si>
  <si>
    <t>김가람 피아노 리사이틀 ‘라벨과의 산책’</t>
  </si>
  <si>
    <t>390</t>
  </si>
  <si>
    <t>제12회 한국플루트학회 정기연주회</t>
  </si>
  <si>
    <t>391</t>
  </si>
  <si>
    <t>클링앤(KlingN) `사랑을 노래하다`</t>
  </si>
  <si>
    <t>392</t>
  </si>
  <si>
    <t>박연민 리스트 순례의 해 전곡 리사이틀 I</t>
  </si>
  <si>
    <t>393</t>
  </si>
  <si>
    <t>김경민 피아니스트의 All that Classic</t>
  </si>
  <si>
    <t>394</t>
  </si>
  <si>
    <t>크론베르크 앙상블</t>
  </si>
  <si>
    <t>395</t>
  </si>
  <si>
    <t>피아니스트 허효정의 인문학 리사이틀 VI. 우리는 무엇을 듣는가?</t>
  </si>
  <si>
    <t>396</t>
  </si>
  <si>
    <t>한문경 타악기 독주회</t>
  </si>
  <si>
    <t>397</t>
  </si>
  <si>
    <t>요한 달레네 바이올린 리사이틀</t>
  </si>
  <si>
    <t>398</t>
  </si>
  <si>
    <t>허원숙 피아노 리사이틀 `모차르트 : 잘츠부르크와 뮌헨 소나타`</t>
  </si>
  <si>
    <t>399</t>
  </si>
  <si>
    <t>제17회 세일 한국가곡 콩쿠르 본선연주회</t>
  </si>
  <si>
    <t>400</t>
  </si>
  <si>
    <t>세종솔로이스츠 실내악 시리즈: 베토벤과 강석희, 그리고 진은숙</t>
  </si>
  <si>
    <t>401</t>
  </si>
  <si>
    <t>허재원 피아노 리사이틀 - 순례의 해 II</t>
  </si>
  <si>
    <t>402</t>
  </si>
  <si>
    <t>바이올리니스트 김다미와 함께하는 쇼송과 이자이</t>
  </si>
  <si>
    <t>403</t>
  </si>
  <si>
    <t>에올리아 앙상블 제2회 정기연주회</t>
  </si>
  <si>
    <t>2025-07-01</t>
  </si>
  <si>
    <t>404</t>
  </si>
  <si>
    <t>앙상블 `공간` 프로젝트 열 여섯 번째 이야기</t>
  </si>
  <si>
    <t>405</t>
  </si>
  <si>
    <t>제3회 줄리어드 음악대학 동문 음악회</t>
  </si>
  <si>
    <t>406</t>
  </si>
  <si>
    <t>서울솔리스트 첼로앙상블 제30회 정기연주회</t>
  </si>
  <si>
    <t>407</t>
  </si>
  <si>
    <t>아벨 콰르텟 베토벤 현악사중주 전곡연주 1</t>
  </si>
  <si>
    <t>408</t>
  </si>
  <si>
    <t>To Know, To Love 2025</t>
  </si>
  <si>
    <t>409</t>
  </si>
  <si>
    <t>한지호 피아노 리사이틀 &lt;어린왕자&gt;</t>
  </si>
  <si>
    <t>410</t>
  </si>
  <si>
    <t>목관오중주 바람 창단연주회</t>
  </si>
  <si>
    <t>411</t>
  </si>
  <si>
    <t>아베끄 현악사중주단 제11회 정기연주회</t>
  </si>
  <si>
    <t>412</t>
  </si>
  <si>
    <t>김남중 비올라 독주회 - &lt;완벽한 즉흥&gt;</t>
  </si>
  <si>
    <t>413</t>
  </si>
  <si>
    <t>디아트원 제 10회 정기연주회</t>
  </si>
  <si>
    <t>414</t>
  </si>
  <si>
    <t>제7회 코리안모던앙상블(KME) 정기연주회</t>
  </si>
  <si>
    <t>415</t>
  </si>
  <si>
    <t>앙상블 VoRA 5번째 프로젝트</t>
  </si>
  <si>
    <t>416</t>
  </si>
  <si>
    <t>채희철 어수희 듀오 리사이틀</t>
  </si>
  <si>
    <t>417</t>
  </si>
  <si>
    <t>2025 소울 첼로 앙상블 정기연주회</t>
  </si>
  <si>
    <t>2025-07-16</t>
  </si>
  <si>
    <t>418</t>
  </si>
  <si>
    <t>기타리스트 변보경 초청 리사이틀</t>
  </si>
  <si>
    <t>419</t>
  </si>
  <si>
    <t>열정, 그리고 사랑</t>
  </si>
  <si>
    <t>420</t>
  </si>
  <si>
    <t>제2회 면사랑 신진 유망 연주자 수상자 연주회</t>
  </si>
  <si>
    <t>421</t>
  </si>
  <si>
    <t>비루투오조 트롬본 앙상블 제12회 정기연주회</t>
  </si>
  <si>
    <t>422</t>
  </si>
  <si>
    <t>쳇 베이커, 라흐마니노프를 만나다</t>
  </si>
  <si>
    <t>423</t>
  </si>
  <si>
    <t>2025 예술의전당 국제음악제 - 앙상블 화담</t>
  </si>
  <si>
    <t>424</t>
  </si>
  <si>
    <t>2025 예술의전당 국제음악제 - 트리오 반더러</t>
  </si>
  <si>
    <t>425</t>
  </si>
  <si>
    <t>2025 예술의전당 국제음악제 - 가이스터 듀오</t>
  </si>
  <si>
    <t>2025-08-07</t>
  </si>
  <si>
    <t>426</t>
  </si>
  <si>
    <t>2025 예술의전당 국제음악제 - 김세현 피아노 리사이틀</t>
  </si>
  <si>
    <t>427</t>
  </si>
  <si>
    <t>2025 예술의전당 국제음악제 - 장 하오첸 피아노 리사이틀</t>
  </si>
  <si>
    <t>428</t>
  </si>
  <si>
    <t>2025 예술의전당 국제음악제 - 테오팀 랑글로아 드 스와르트 &amp; 토마스 던포드 듀오 콘서트</t>
  </si>
  <si>
    <t>429</t>
  </si>
  <si>
    <t>스쿨 오브 클래식</t>
  </si>
  <si>
    <t>430</t>
  </si>
  <si>
    <t>송지원 바이올린 리사이틀 &lt;Within&gt;</t>
  </si>
  <si>
    <t>431</t>
  </si>
  <si>
    <t>부페 크람폰 200주년 기념 콘서트</t>
  </si>
  <si>
    <t>432</t>
  </si>
  <si>
    <t>이은기 더블베이스 독주회</t>
  </si>
  <si>
    <t>433</t>
  </si>
  <si>
    <t>피아니스트 노예진 &lt;라흐마니노프 24 프렐류드&gt; 전곡 음반 발매 리사이틀</t>
  </si>
  <si>
    <t>434</t>
  </si>
  <si>
    <t>리수스 콰르텟 제4회 정기연주회</t>
  </si>
  <si>
    <t>435</t>
  </si>
  <si>
    <t>명앙상블 제6회 정기연주회</t>
  </si>
  <si>
    <t>436</t>
  </si>
  <si>
    <t>제14회 앙상블 유니송 정기연주회</t>
  </si>
  <si>
    <t>437</t>
  </si>
  <si>
    <t>칼라치 스트링 콰르텟</t>
  </si>
  <si>
    <t>438</t>
  </si>
  <si>
    <t>조성현 X 유성권: 목관의 대화</t>
  </si>
  <si>
    <t>439</t>
  </si>
  <si>
    <t>2025 힉엣눙크! 뮤직 페스티벌 - 기타리스트 지지 리사이틀</t>
  </si>
  <si>
    <t>440</t>
  </si>
  <si>
    <t>청소년을 위한 인문학 콘서트: 루브르</t>
  </si>
  <si>
    <t>441</t>
  </si>
  <si>
    <t>2025 서울시향 실내악 시리즈 IV: 윤 젱</t>
  </si>
  <si>
    <t>442</t>
  </si>
  <si>
    <t>문록선 해설과 함께하는 제10회 플루트앙상블 아디나 정기연주회</t>
  </si>
  <si>
    <t>443</t>
  </si>
  <si>
    <t>김승수 &amp; 안평강 타악기 듀오 리사이틀</t>
  </si>
  <si>
    <t>444</t>
  </si>
  <si>
    <t>함지민 바이올린 독주회</t>
  </si>
  <si>
    <t>연기</t>
  </si>
  <si>
    <t>445</t>
  </si>
  <si>
    <t>조숙현 피아노 독주회</t>
  </si>
  <si>
    <t>446</t>
  </si>
  <si>
    <t>아우어퍼쿠션 퍼커시브 시리즈 I - 프랑스</t>
  </si>
  <si>
    <t>447</t>
  </si>
  <si>
    <t>알테무지크서울 제25회 정기연주회</t>
  </si>
  <si>
    <t>448</t>
  </si>
  <si>
    <t>트리오 인</t>
  </si>
  <si>
    <t>449</t>
  </si>
  <si>
    <t>이디오마 델라 무지카 정기연주회</t>
  </si>
  <si>
    <t>4-5팀</t>
  </si>
  <si>
    <t>450</t>
  </si>
  <si>
    <t>소프라노 양귀비 &amp; 플루티스트 양으뜸 듀오 리사이틀</t>
  </si>
  <si>
    <t>2025-09-02</t>
  </si>
  <si>
    <t>451</t>
  </si>
  <si>
    <t>모차르트 두 대의 피아노를 위한 작품 전곡 리사이틀</t>
  </si>
  <si>
    <t>452</t>
  </si>
  <si>
    <t>이혜전 피아노 리사이틀 - Journey and Beyond</t>
  </si>
  <si>
    <t>2025-09-04</t>
  </si>
  <si>
    <t>453</t>
  </si>
  <si>
    <t>이성주와 조이오브스트링스 &lt;DOUBLE FESTA&gt;</t>
  </si>
  <si>
    <t>454</t>
  </si>
  <si>
    <t>제14회 헤이리챔버오케스트라 정기 연주회</t>
  </si>
  <si>
    <t>455</t>
  </si>
  <si>
    <t>임창호 바이올린 독주회</t>
  </si>
  <si>
    <t>1-4팀</t>
  </si>
  <si>
    <t>456</t>
  </si>
  <si>
    <t>제9회 디나미스 앙상블 정기연주회</t>
  </si>
  <si>
    <t>457</t>
  </si>
  <si>
    <t>최영미 피아노 독주회</t>
  </si>
  <si>
    <t>2025-09-09</t>
  </si>
  <si>
    <t>458</t>
  </si>
  <si>
    <t>2025 온드림 실내악 시리즈 I</t>
  </si>
  <si>
    <t>459</t>
  </si>
  <si>
    <t>제7회 어텀실내악페스티벌 ‘신념, Belief’ - 위대한 재발견</t>
  </si>
  <si>
    <t>460</t>
  </si>
  <si>
    <t>안종도 피아노 리사이틀</t>
  </si>
  <si>
    <t>461</t>
  </si>
  <si>
    <t>스텔라 첸 바이올린 리사이틀</t>
  </si>
  <si>
    <t>462</t>
  </si>
  <si>
    <t>2025 서울시향 실내악 시리즈 V: 키트 암스트롱</t>
  </si>
  <si>
    <t>463</t>
  </si>
  <si>
    <t>제7회 어텀실내악페스티벌 ‘신념, Belief’ - 흑백음악가 멘델스존&amp;코른골드</t>
  </si>
  <si>
    <t>464</t>
  </si>
  <si>
    <t>서울스트링앙상블 제53회 정기연주회</t>
  </si>
  <si>
    <t>465</t>
  </si>
  <si>
    <t>2025 온드림 실내악 시리즈 II</t>
  </si>
  <si>
    <t>466</t>
  </si>
  <si>
    <t>TIMF앙상블 윤이상 타계 30주년 기념 &lt;이상을 바라보다&gt;</t>
  </si>
  <si>
    <t>467</t>
  </si>
  <si>
    <t>코리안 오보에 콰르텟 창단연주회</t>
  </si>
  <si>
    <t>468</t>
  </si>
  <si>
    <t>아벨 콰르텟 베토벤 현악사중주 전곡연주 2</t>
  </si>
  <si>
    <t>무선마이크점검</t>
  </si>
  <si>
    <t>469</t>
  </si>
  <si>
    <t>김준 피아노 독주회</t>
  </si>
  <si>
    <t>마이크in out여부확인</t>
  </si>
  <si>
    <t>470</t>
  </si>
  <si>
    <t>마르신 딜라 기타 리사이틀</t>
  </si>
  <si>
    <t>471</t>
  </si>
  <si>
    <t>김재미 피아노 독주회</t>
  </si>
  <si>
    <t>472</t>
  </si>
  <si>
    <t>박규희 데뷔 15주년 기념공연</t>
  </si>
  <si>
    <t>473</t>
  </si>
  <si>
    <t>소프라노 이해원 리사이틀 &lt;The Bohemian Girl&gt;</t>
  </si>
  <si>
    <t>474</t>
  </si>
  <si>
    <t>첼리스트 주연선의 멘델스존 전곡</t>
  </si>
  <si>
    <t>1-5팀</t>
  </si>
  <si>
    <t>475</t>
  </si>
  <si>
    <t>김도현 피아노 리사이틀</t>
  </si>
  <si>
    <t>476</t>
  </si>
  <si>
    <t>피아니스트 이윤수의 슈만 피아노 전곡 시리즈 XII “FINALE”</t>
  </si>
  <si>
    <t>477</t>
  </si>
  <si>
    <t>에드 무지카 제16회 정기연주회</t>
  </si>
  <si>
    <t>공연취소</t>
  </si>
  <si>
    <t>478</t>
  </si>
  <si>
    <t>김은식 바로크 바이올린 독주회</t>
  </si>
  <si>
    <t>479</t>
  </si>
  <si>
    <t>코펙스챔버오케스트라 제4회 정기연주회</t>
  </si>
  <si>
    <t>480</t>
  </si>
  <si>
    <t>송은주 하프시코드 독주회 with 코리안챔버오케스트라(KCO)</t>
  </si>
  <si>
    <t>481</t>
  </si>
  <si>
    <t>2025 블래져 목관앙상블 정기연주회</t>
  </si>
  <si>
    <t>482</t>
  </si>
  <si>
    <t>베이스 바리톤 김종국, 첼리스트 장은령의 부부싸움콘서트 투게더 III</t>
  </si>
  <si>
    <t>483</t>
  </si>
  <si>
    <t>박유신 첼로 리사이틀</t>
  </si>
  <si>
    <t>484</t>
  </si>
  <si>
    <t>전지훈 피아노 독주회</t>
  </si>
  <si>
    <t>485</t>
  </si>
  <si>
    <t>김미연 타악기 독주회</t>
  </si>
  <si>
    <t>486</t>
  </si>
  <si>
    <t>제4회 콜로삭스 색소폰 콰르텟 정기연주회</t>
  </si>
  <si>
    <t>487</t>
  </si>
  <si>
    <t>Myrthen, Op.25 "26개의 꽃이 피어나는 밤" 소프라노 권은주 베이스 윤종민</t>
  </si>
  <si>
    <t>488</t>
  </si>
  <si>
    <t>코리안챔버오케스트라 콘트라스트 시리즈 1</t>
  </si>
  <si>
    <t>489</t>
  </si>
  <si>
    <t>이수빈 하프 리사이틀</t>
  </si>
  <si>
    <t>490</t>
  </si>
  <si>
    <t>원재연 피아노 리사이틀</t>
  </si>
  <si>
    <t>491</t>
  </si>
  <si>
    <t>한·체코 수교 35주년 기념_야나첵 스트링 콰르텟 내한공연</t>
  </si>
  <si>
    <t>492</t>
  </si>
  <si>
    <t>김새암 X 김승연: 삶과 죽음</t>
  </si>
  <si>
    <t>493</t>
  </si>
  <si>
    <t>김다솔 피아노 리사이틀 – &lt;쇼팽의 밤&gt;</t>
  </si>
  <si>
    <t>494</t>
  </si>
  <si>
    <t>첼리스트 김두민 리사이틀</t>
  </si>
  <si>
    <t>495</t>
  </si>
  <si>
    <t>제13회 대한민국예술원 음악회</t>
  </si>
  <si>
    <t>496</t>
  </si>
  <si>
    <t>국립심포니오케스트라 실내악 시리즈 2</t>
  </si>
  <si>
    <t>497</t>
  </si>
  <si>
    <t>현대음악앙상블‘소리’ 2025 기획연주회</t>
  </si>
  <si>
    <t>498</t>
  </si>
  <si>
    <t>코리안바로크소사이어티 &lt;찬란한 삶, 메타스타시오&gt;</t>
  </si>
  <si>
    <t>499</t>
  </si>
  <si>
    <t>아르스 앙상블: Traum</t>
  </si>
  <si>
    <t>500</t>
  </si>
  <si>
    <t>2025 서울국제음악제 ‘German Dance’</t>
  </si>
  <si>
    <t>501</t>
  </si>
  <si>
    <t>바흐솔리스텐서울 창단20주년 기념음악회 3 : 바흐 프로젝트 IV</t>
  </si>
  <si>
    <t>502</t>
  </si>
  <si>
    <t>장우리 첼로 독주회</t>
  </si>
  <si>
    <t>503</t>
  </si>
  <si>
    <t>이지윤 &amp; 문지영 듀오 리사이틀</t>
  </si>
  <si>
    <t>504</t>
  </si>
  <si>
    <t>사)한국페스티발앙상블 제80회정기연주회</t>
  </si>
  <si>
    <t>505</t>
  </si>
  <si>
    <t>2025 서울국제음악제 ‘게리 호프만 첼로 리사이틀: 베토벤과 함께 춤을’</t>
  </si>
  <si>
    <t>506</t>
  </si>
  <si>
    <t>한국피아노듀오협회 제22회 스페셜콘서트</t>
  </si>
  <si>
    <t>507</t>
  </si>
  <si>
    <t>그리운 금강산</t>
  </si>
  <si>
    <t>508</t>
  </si>
  <si>
    <t>빈국립음대 한국동문회 창립10주년 기념음악회</t>
  </si>
  <si>
    <t>3~6</t>
  </si>
  <si>
    <t>509</t>
  </si>
  <si>
    <t>일리야 라쉬코프스키 피아노 리사이틀</t>
  </si>
  <si>
    <t>510</t>
  </si>
  <si>
    <t>조성현 플루트 리사이틀</t>
  </si>
  <si>
    <t>511</t>
  </si>
  <si>
    <t>(사)서울나눔뮤직그룹 제34회 기부음악회</t>
  </si>
  <si>
    <t>512</t>
  </si>
  <si>
    <t>2025 대한민국 작곡제전</t>
  </si>
  <si>
    <t>513</t>
  </si>
  <si>
    <t>514</t>
  </si>
  <si>
    <t>국립합창단 기획공연 &lt;신진지휘자 초청연주회&gt;</t>
  </si>
  <si>
    <t>515</t>
  </si>
  <si>
    <t>위 솔로이스츠 제31회 정기연주회</t>
  </si>
  <si>
    <t>516</t>
  </si>
  <si>
    <t>트리오 가온 리사이틀</t>
  </si>
  <si>
    <t>517</t>
  </si>
  <si>
    <t>한국피아노학회 창립 35주년 기념 음악회</t>
  </si>
  <si>
    <t>518</t>
  </si>
  <si>
    <t>2025 서울바흐축제 - 칸타타 시리즈</t>
  </si>
  <si>
    <t>519</t>
  </si>
  <si>
    <t>벨루스 콰르텟 창단 16주년 기념음악회</t>
  </si>
  <si>
    <t>520</t>
  </si>
  <si>
    <t>콰르텟 21 제64회 정기연주회</t>
  </si>
  <si>
    <t>521</t>
  </si>
  <si>
    <t>아벨 콰르텟 베토벤 현악사중주 전곡연주 3</t>
  </si>
  <si>
    <t>522</t>
  </si>
  <si>
    <t>소프라노 이승은 독창회</t>
  </si>
  <si>
    <t>523</t>
  </si>
  <si>
    <t>이신우의 가지 않은 길 III. 밝은 슬픔</t>
  </si>
  <si>
    <t>524</t>
  </si>
  <si>
    <t>이든 콰르텟 리사이틀</t>
  </si>
  <si>
    <t>525</t>
  </si>
  <si>
    <t>獻 呈(헌 정) - 테너 박세원 1주기 추모 음악회</t>
  </si>
  <si>
    <t>526</t>
  </si>
  <si>
    <t>백주영 &amp; 피닌 콜린스의 브람스 바이올린 소나타</t>
  </si>
  <si>
    <t>527</t>
  </si>
  <si>
    <t>제13회 성정콘서트</t>
  </si>
  <si>
    <t>528</t>
  </si>
  <si>
    <t>서울레이디스싱어즈 제33회 정기연주회</t>
  </si>
  <si>
    <t>529</t>
  </si>
  <si>
    <t>2025 PoAH 피아노연구회 제12회 정기연주회</t>
  </si>
  <si>
    <t>530</t>
  </si>
  <si>
    <t>아레테 콰르텟 음반 발매 기념 리사이틀</t>
  </si>
  <si>
    <t>531</t>
  </si>
  <si>
    <t>박은식 피아노 독주회</t>
  </si>
  <si>
    <t>532</t>
  </si>
  <si>
    <t>정한빈 피아노 리사이틀 &lt;보헤미안 랩소디&gt;</t>
  </si>
  <si>
    <t>533</t>
  </si>
  <si>
    <t>손정범 피아노 리사이틀 2025</t>
  </si>
  <si>
    <t>534</t>
  </si>
  <si>
    <t>제 3회 앙상블 화담 정기연주회</t>
  </si>
  <si>
    <t>535</t>
  </si>
  <si>
    <t>에스더 유 &amp; 박재홍 듀오 리사이틀</t>
  </si>
  <si>
    <t>536</t>
  </si>
  <si>
    <t>첼리스트 심준호의 "Beethoven"</t>
  </si>
  <si>
    <t>537</t>
  </si>
  <si>
    <t>앙상블오푸스: 겨울의 서정</t>
  </si>
  <si>
    <t>538</t>
  </si>
  <si>
    <t>지음지기 브라스 콰이어 열번째 이야기</t>
  </si>
  <si>
    <t>539</t>
  </si>
  <si>
    <t>김수연 피아노 리사이틀</t>
  </si>
  <si>
    <t>540</t>
  </si>
  <si>
    <t>조재복 더블베이스 독주회</t>
  </si>
  <si>
    <t>541</t>
  </si>
  <si>
    <t>트리오 드 서울 제 8회 정기연주회</t>
  </si>
  <si>
    <t>542</t>
  </si>
  <si>
    <t>계명선 피아노 독주회</t>
  </si>
  <si>
    <t>543</t>
  </si>
  <si>
    <t>서울체임버오케스트라 제103회 정기연주회</t>
  </si>
  <si>
    <t>544</t>
  </si>
  <si>
    <t>조인혁 클라리넷 리사이틀</t>
  </si>
  <si>
    <t>545</t>
  </si>
  <si>
    <t>카로스 타악기 앙상블 108회 정기연주회</t>
  </si>
  <si>
    <t>546</t>
  </si>
  <si>
    <t>서울챔버뮤직소사이어티 일곱번째 공연</t>
  </si>
  <si>
    <t>547</t>
  </si>
  <si>
    <t>비올리스트 공세정의 시대별 시리즈 II</t>
  </si>
  <si>
    <t>548</t>
  </si>
  <si>
    <t>바이올리니스트 민유경의 사계 X 2</t>
  </si>
  <si>
    <t>549</t>
  </si>
  <si>
    <t>크리스틴 정현 리 첼로 리사이틀</t>
  </si>
  <si>
    <t>550</t>
  </si>
  <si>
    <t>심선민 퍼커션 리사이틀</t>
  </si>
  <si>
    <t>551</t>
  </si>
  <si>
    <t>앙상블 우리 제18회 정기연주회</t>
  </si>
  <si>
    <t>552</t>
  </si>
  <si>
    <t>국립심포니콘서트오케스트라 &lt;크리스마스 콘서트&gt;</t>
  </si>
  <si>
    <t>553</t>
  </si>
  <si>
    <t>토너스 콰르텟 리사이틀</t>
  </si>
  <si>
    <t>554</t>
  </si>
  <si>
    <t>더 크리스마스 - 송영훈의 4첼리스트</t>
  </si>
  <si>
    <t>555</t>
  </si>
  <si>
    <t>첼리스트 김민지 리사이틀 &lt;Dance&gt;</t>
  </si>
  <si>
    <t>556</t>
  </si>
  <si>
    <t>한가사모 창립 10주년 기념 송년음악회</t>
  </si>
  <si>
    <t>557</t>
  </si>
  <si>
    <t>피아니스트 김정원 전국투어 리사이틀 2025</t>
  </si>
  <si>
    <t>558</t>
  </si>
  <si>
    <t>서울아카데미앙상블 정기연주회</t>
  </si>
  <si>
    <t>559</t>
  </si>
  <si>
    <t>서울비르투오지 챔버오케스트라 송년음악회</t>
  </si>
  <si>
    <t>560</t>
  </si>
  <si>
    <t>2025 Plus Chamber Group 송년음악회</t>
  </si>
  <si>
    <t>561</t>
  </si>
  <si>
    <t>이석중 바이올린 독주회</t>
  </si>
  <si>
    <t>2025-01-05</t>
  </si>
  <si>
    <t>리사이틀홀</t>
  </si>
  <si>
    <t>562</t>
  </si>
  <si>
    <t>한지은 플루트 독주회 Flautato Series Ⅶ</t>
  </si>
  <si>
    <t>563</t>
  </si>
  <si>
    <t>김나정 바이올린 독주회</t>
  </si>
  <si>
    <t>564</t>
  </si>
  <si>
    <t>양지윤 첼로 리사이틀 "바흐 무반주 첼로 모음곡 전곡 연주 I"</t>
  </si>
  <si>
    <t>565</t>
  </si>
  <si>
    <t>제7회 모노폴 클라리넷 정기연주회</t>
  </si>
  <si>
    <t>566</t>
  </si>
  <si>
    <t>김성수 트롬본 독주회</t>
  </si>
  <si>
    <t>567</t>
  </si>
  <si>
    <t>이호찬 첼로 리사이틀</t>
  </si>
  <si>
    <t>568</t>
  </si>
  <si>
    <t>권명혜 바이올린 독주회</t>
  </si>
  <si>
    <t>569</t>
  </si>
  <si>
    <t>이현애 강자연 듀오 리사이틀</t>
  </si>
  <si>
    <t>570</t>
  </si>
  <si>
    <t>김현정 바이올린 독주회</t>
  </si>
  <si>
    <t>571</t>
  </si>
  <si>
    <t>이윤호 트롬본 독주회</t>
  </si>
  <si>
    <t>572</t>
  </si>
  <si>
    <t>에드 무지카 신년 음악회</t>
  </si>
  <si>
    <t>573</t>
  </si>
  <si>
    <t>김정수 바이올린 독주회</t>
  </si>
  <si>
    <t>574</t>
  </si>
  <si>
    <t>바리톤 안대현의 Liederabend Series III</t>
  </si>
  <si>
    <t>575</t>
  </si>
  <si>
    <t>한연숙 비올라 리사이틀</t>
  </si>
  <si>
    <t>576</t>
  </si>
  <si>
    <t>지유경 피아노 독주회</t>
  </si>
  <si>
    <t>577</t>
  </si>
  <si>
    <t>김상애 플루트 독주회</t>
  </si>
  <si>
    <t>578</t>
  </si>
  <si>
    <t>최윤경 바순 독주회</t>
  </si>
  <si>
    <t>579</t>
  </si>
  <si>
    <t>권혜진 플루트 독주회</t>
  </si>
  <si>
    <t>580</t>
  </si>
  <si>
    <t>손아진 귀국 피아노 독주회</t>
  </si>
  <si>
    <t>581</t>
  </si>
  <si>
    <t>소프라노 신승아 독창회</t>
  </si>
  <si>
    <t>582</t>
  </si>
  <si>
    <t>임기욱 피아노 독주회</t>
  </si>
  <si>
    <t>583</t>
  </si>
  <si>
    <t>전민경 오보에 독주회</t>
  </si>
  <si>
    <t>584</t>
  </si>
  <si>
    <t>김소정 귀국 바이올린 독주회</t>
  </si>
  <si>
    <t>585</t>
  </si>
  <si>
    <t>김형주 호른 독주회</t>
  </si>
  <si>
    <t>586</t>
  </si>
  <si>
    <t>최지웅 윤소영 듀오 연주회</t>
  </si>
  <si>
    <t>587</t>
  </si>
  <si>
    <t>이세인 귀국 첼로 독주회</t>
  </si>
  <si>
    <t>588</t>
  </si>
  <si>
    <t>유재원 바이올린 리사이틀</t>
  </si>
  <si>
    <t>589</t>
  </si>
  <si>
    <t>이유빈 귀국 플루트 독주회</t>
  </si>
  <si>
    <t>590</t>
  </si>
  <si>
    <t>한희준 귀국 피아노 독주회</t>
  </si>
  <si>
    <t>591</t>
  </si>
  <si>
    <t>황소진 첼로 독주회</t>
  </si>
  <si>
    <t>592</t>
  </si>
  <si>
    <t>해설이 있는 리스트 초절기교 연습곡 전곡 연주회</t>
  </si>
  <si>
    <t>593</t>
  </si>
  <si>
    <t>바이올리니스트 태선이 슈베르트 바이올린작품 전곡 시리즈I</t>
  </si>
  <si>
    <t>594</t>
  </si>
  <si>
    <t>김현남 바이올린 독주회</t>
  </si>
  <si>
    <t>595</t>
  </si>
  <si>
    <t>피아니스트 이윤수의 슈만 피아노 전곡 시리즈 X</t>
  </si>
  <si>
    <t>596</t>
  </si>
  <si>
    <t>메조소프라노 황혜재 독창회</t>
  </si>
  <si>
    <t>597</t>
  </si>
  <si>
    <t>김성재 피아노 독주회</t>
  </si>
  <si>
    <t>598</t>
  </si>
  <si>
    <t>조사방 작곡 발표회</t>
  </si>
  <si>
    <t>599</t>
  </si>
  <si>
    <t>변예진 바이올린 독주회</t>
  </si>
  <si>
    <t>600</t>
  </si>
  <si>
    <t>김현경 플루트 리사이틀</t>
  </si>
  <si>
    <t>601</t>
  </si>
  <si>
    <t>Arcadia 목관앙상블 창단연주회</t>
  </si>
  <si>
    <t>602</t>
  </si>
  <si>
    <t>홍성은 첼로 독주회</t>
  </si>
  <si>
    <t>603</t>
  </si>
  <si>
    <t>최혜빈 귀국 피아노 독주회</t>
  </si>
  <si>
    <t>604</t>
  </si>
  <si>
    <t>소프라노 김나연 귀국 독창회</t>
  </si>
  <si>
    <t>605</t>
  </si>
  <si>
    <t>전찬솔 색소폰 독주회</t>
  </si>
  <si>
    <t>606</t>
  </si>
  <si>
    <t>바이올린 주연경 &amp; 첼로 주연선 듀오 리사이틀</t>
  </si>
  <si>
    <t>607</t>
  </si>
  <si>
    <t>진 덕 비올라 독주회: Schumann - Leidenschaft</t>
  </si>
  <si>
    <t>608</t>
  </si>
  <si>
    <t>이지연 플루트 독주회 : 여성 작곡가들의 플루트 음악 IV</t>
  </si>
  <si>
    <t>609</t>
  </si>
  <si>
    <t>김지윤 바이올린 독주회</t>
  </si>
  <si>
    <t>610</t>
  </si>
  <si>
    <t>김강호 피아노 독주회</t>
  </si>
  <si>
    <t>611</t>
  </si>
  <si>
    <t>고의석 기타 독주회</t>
  </si>
  <si>
    <t>612</t>
  </si>
  <si>
    <t>김연경 피아노 독주회</t>
  </si>
  <si>
    <t>613</t>
  </si>
  <si>
    <t>제9회 이승동 색소폰 독주회</t>
  </si>
  <si>
    <t>614</t>
  </si>
  <si>
    <t>김지영 귀국 오보에 독주회</t>
  </si>
  <si>
    <t>615</t>
  </si>
  <si>
    <t>김남호 튜바 독주회</t>
  </si>
  <si>
    <t>616</t>
  </si>
  <si>
    <t>조재현 비올라 독주회</t>
  </si>
  <si>
    <t>617</t>
  </si>
  <si>
    <t>김이슬 플루트 독주회</t>
  </si>
  <si>
    <t>618</t>
  </si>
  <si>
    <t>2025 한국독일가곡연구회 - 예술가곡의 길 시리즈 I</t>
  </si>
  <si>
    <t>619</t>
  </si>
  <si>
    <t>피아니스트 조지현의 쇼팽 시리즈 I</t>
  </si>
  <si>
    <t>620</t>
  </si>
  <si>
    <t>함영림 계명선 피아노 듀오 콘서트</t>
  </si>
  <si>
    <t>621</t>
  </si>
  <si>
    <t>인태영 바순 독주회</t>
  </si>
  <si>
    <t>622</t>
  </si>
  <si>
    <t>송유진 피아노 독주회</t>
  </si>
  <si>
    <t>623</t>
  </si>
  <si>
    <t>권그림 바이올린 독주회</t>
  </si>
  <si>
    <t>624</t>
  </si>
  <si>
    <t>김하늘 피아노 독주회 - French Suite</t>
  </si>
  <si>
    <t>625</t>
  </si>
  <si>
    <t>코리아나 챔버 뮤직 소사이어티 제89회 정기연주회</t>
  </si>
  <si>
    <t>626</t>
  </si>
  <si>
    <t>소프라노 김문희 독창회</t>
  </si>
  <si>
    <t>627</t>
  </si>
  <si>
    <t>사)한국페스티발앙상블 제34회현대음악축제</t>
  </si>
  <si>
    <t>628</t>
  </si>
  <si>
    <t>신윤경 비올라 독주회</t>
  </si>
  <si>
    <t>629</t>
  </si>
  <si>
    <t>양윤희 모차르트 피아노 소나타 전곡 시리즈 II</t>
  </si>
  <si>
    <t>630</t>
  </si>
  <si>
    <t>유지수 피아노 독주회</t>
  </si>
  <si>
    <t>631</t>
  </si>
  <si>
    <t>정윤희 귀국 플루트 독주회</t>
  </si>
  <si>
    <t>632</t>
  </si>
  <si>
    <t>양승희 바이올린 독주회</t>
  </si>
  <si>
    <t>633</t>
  </si>
  <si>
    <t>바로크와 현대가곡 연구회 제94회 정기연주회</t>
  </si>
  <si>
    <t>634</t>
  </si>
  <si>
    <t>정광준 첼로 리사이틀</t>
  </si>
  <si>
    <t>635</t>
  </si>
  <si>
    <t>영미성악연구회 98회 정기연주회</t>
  </si>
  <si>
    <t>636</t>
  </si>
  <si>
    <t>피여나 귀국 하프 독주회</t>
  </si>
  <si>
    <t>637</t>
  </si>
  <si>
    <t>정혜연 피아노 독주회</t>
  </si>
  <si>
    <t>638</t>
  </si>
  <si>
    <t>디 앙상블 제18회 정기연주회</t>
  </si>
  <si>
    <t>639</t>
  </si>
  <si>
    <t>플로비아노 두번째 이야기</t>
  </si>
  <si>
    <t>640</t>
  </si>
  <si>
    <t>김선민 피아노 독주회</t>
  </si>
  <si>
    <t>641</t>
  </si>
  <si>
    <t>왕혜진 첼로 독주회</t>
  </si>
  <si>
    <t>642</t>
  </si>
  <si>
    <t>정욱 클래식기타 독주회</t>
  </si>
  <si>
    <t>643</t>
  </si>
  <si>
    <t>신미정 김수연 정선이 트리오 창단 30주년 기념 음악회</t>
  </si>
  <si>
    <t>644</t>
  </si>
  <si>
    <t>윤철희 &amp; 송은주 듀오 리사이틀</t>
  </si>
  <si>
    <t>645</t>
  </si>
  <si>
    <t>박수원 하프 독주회</t>
  </si>
  <si>
    <t>646</t>
  </si>
  <si>
    <t>노모스 트리오</t>
  </si>
  <si>
    <t>647</t>
  </si>
  <si>
    <t>주희성 &amp; 노유리 피아노 듀오 리사이틀</t>
  </si>
  <si>
    <t>648</t>
  </si>
  <si>
    <t>정의경 피아노 독주회</t>
  </si>
  <si>
    <t>649</t>
  </si>
  <si>
    <t>박노을 첼로 독주회</t>
  </si>
  <si>
    <t>650</t>
  </si>
  <si>
    <t>유성민 바이올린 독주회</t>
  </si>
  <si>
    <t>651</t>
  </si>
  <si>
    <t>유성호 피아노 리사이틀</t>
  </si>
  <si>
    <t>652</t>
  </si>
  <si>
    <t>유세형 피아노 독주회</t>
  </si>
  <si>
    <t>653</t>
  </si>
  <si>
    <t>안명주 플루트 독주회</t>
  </si>
  <si>
    <t>654</t>
  </si>
  <si>
    <t>이정은 피아노 독주회&lt;베토벤 피아노 소나타 전곡시리즈 4&gt;</t>
  </si>
  <si>
    <t>655</t>
  </si>
  <si>
    <t>김영은 첼로 독주회</t>
  </si>
  <si>
    <t>656</t>
  </si>
  <si>
    <t>스케치 정기연주회 ⅩⅥ</t>
  </si>
  <si>
    <t>657</t>
  </si>
  <si>
    <t>방인주 피아노 독주회</t>
  </si>
  <si>
    <t>658</t>
  </si>
  <si>
    <t>한국슈베르트협회 77회 정기연주회</t>
  </si>
  <si>
    <t>659</t>
  </si>
  <si>
    <t>강드보라 바이올린 독주회</t>
  </si>
  <si>
    <t>660</t>
  </si>
  <si>
    <t>(사)한국여성작곡가회 제80회 봄정기발표회</t>
  </si>
  <si>
    <t>661</t>
  </si>
  <si>
    <t>김정은 &amp; 김소연 초청 피아노 듀오 리사이틀</t>
  </si>
  <si>
    <t>662</t>
  </si>
  <si>
    <t>최민지 첼로 독주회</t>
  </si>
  <si>
    <t>663</t>
  </si>
  <si>
    <t>황문희 피아노 독주회</t>
  </si>
  <si>
    <t>664</t>
  </si>
  <si>
    <t>황지인 피아노 독주회</t>
  </si>
  <si>
    <t>665</t>
  </si>
  <si>
    <t>박인미 피아노 독주회</t>
  </si>
  <si>
    <t>666</t>
  </si>
  <si>
    <t>임혜진 비올라 독주회</t>
  </si>
  <si>
    <t>667</t>
  </si>
  <si>
    <t>정민경&amp;강미사 듀오 리사이틀1</t>
  </si>
  <si>
    <t>668</t>
  </si>
  <si>
    <t>심소정의 하프 시리즈 III:The Golden Gift</t>
  </si>
  <si>
    <t>669</t>
  </si>
  <si>
    <t>변새봄 첼로 독주회</t>
  </si>
  <si>
    <t>670</t>
  </si>
  <si>
    <t>김재혁 귀국 피아노 독주회</t>
  </si>
  <si>
    <t>671</t>
  </si>
  <si>
    <t>서울클라리넷 앙상블과 함께하는 어린이날 콘서트</t>
  </si>
  <si>
    <t>672</t>
  </si>
  <si>
    <t>문지원 바이올린 독주회</t>
  </si>
  <si>
    <t>673</t>
  </si>
  <si>
    <t>2025 CMSS Festival II</t>
  </si>
  <si>
    <t>674</t>
  </si>
  <si>
    <t>2025 CMSS Festival III 창악회 제67회 정기연주회</t>
  </si>
  <si>
    <t>675</t>
  </si>
  <si>
    <t>임지희 바이올린 독주회</t>
  </si>
  <si>
    <t>676</t>
  </si>
  <si>
    <t>이루사 김세은 피아노 듀오 리사이틀</t>
  </si>
  <si>
    <t>677</t>
  </si>
  <si>
    <t>유재경 피아노 독주회</t>
  </si>
  <si>
    <t>678</t>
  </si>
  <si>
    <t>이효원 리코더 독주회</t>
  </si>
  <si>
    <t>679</t>
  </si>
  <si>
    <t>임홍균 바이올린 독주회</t>
  </si>
  <si>
    <t>680</t>
  </si>
  <si>
    <t>비올리스트 권오현 힌데미트 소나타 전곡 시리즈 1</t>
  </si>
  <si>
    <t>681</t>
  </si>
  <si>
    <t>김은아 피아노 리사이틀</t>
  </si>
  <si>
    <t>682</t>
  </si>
  <si>
    <t>노인경 첼로 독주회</t>
  </si>
  <si>
    <t>683</t>
  </si>
  <si>
    <t>이민성 피아노 독주회 "위로와 열정"</t>
  </si>
  <si>
    <t>684</t>
  </si>
  <si>
    <t>황건영 피아노 독주회</t>
  </si>
  <si>
    <t>685</t>
  </si>
  <si>
    <t>Ludens String Quartet 제5회 정기연주회</t>
  </si>
  <si>
    <t>686</t>
  </si>
  <si>
    <t>박지원 피아노 독주회</t>
  </si>
  <si>
    <t>687</t>
  </si>
  <si>
    <t>김예지 플루트 독주회</t>
  </si>
  <si>
    <t>688</t>
  </si>
  <si>
    <t>2025 한국독일가곡연구회 - 예술가곡의 길 시리즈 II</t>
  </si>
  <si>
    <t>689</t>
  </si>
  <si>
    <t>윤염광 바이올린 독주회</t>
  </si>
  <si>
    <t>690</t>
  </si>
  <si>
    <t>오, 베토벤!</t>
  </si>
  <si>
    <t>691</t>
  </si>
  <si>
    <t>이승혜 피아노 독주회</t>
  </si>
  <si>
    <t>692</t>
  </si>
  <si>
    <t>이섬승 피아노 독주회</t>
  </si>
  <si>
    <t>693</t>
  </si>
  <si>
    <t>곽나영 오보에 독주회</t>
  </si>
  <si>
    <t>694</t>
  </si>
  <si>
    <t>조민현 귀국 피아노 독주회</t>
  </si>
  <si>
    <t>695</t>
  </si>
  <si>
    <t>박고운 첼로 리사이틀</t>
  </si>
  <si>
    <t>696</t>
  </si>
  <si>
    <t>송호섭 클라리넷 독주회 XXVIII</t>
  </si>
  <si>
    <t>697</t>
  </si>
  <si>
    <t>문록선 플루트 독주회</t>
  </si>
  <si>
    <t>698</t>
  </si>
  <si>
    <t>배종선 플루트 독주회</t>
  </si>
  <si>
    <t>699</t>
  </si>
  <si>
    <t>전소영 첼로 독주회</t>
  </si>
  <si>
    <t>700</t>
  </si>
  <si>
    <t>이민환 베이스트롬본 독주회</t>
  </si>
  <si>
    <t>701</t>
  </si>
  <si>
    <t>기타 뮤직 페스티벌 - M</t>
  </si>
  <si>
    <t>702</t>
  </si>
  <si>
    <t>장희재 비올라 독주회</t>
  </si>
  <si>
    <t>703</t>
  </si>
  <si>
    <t>박미희 바이올린 독주회</t>
  </si>
  <si>
    <t>704</t>
  </si>
  <si>
    <t>김상원 피아노 독주회</t>
  </si>
  <si>
    <t>705</t>
  </si>
  <si>
    <t>임성윤 바이올린 독주회</t>
  </si>
  <si>
    <t>706</t>
  </si>
  <si>
    <t>임진아 비올라 독주회</t>
  </si>
  <si>
    <t>707</t>
  </si>
  <si>
    <t>변현조 클라리넷 독주회</t>
  </si>
  <si>
    <t>708</t>
  </si>
  <si>
    <t>한국피아노듀오협회 제70회 정기연주회</t>
  </si>
  <si>
    <t>709</t>
  </si>
  <si>
    <t>남아연 귀국 첼로 독주회</t>
  </si>
  <si>
    <t>710</t>
  </si>
  <si>
    <t>이마리솔 바이올린 독주회</t>
  </si>
  <si>
    <t>711</t>
  </si>
  <si>
    <t>유미향 피아노 독주회 "베토벤 피아노 소나타 전곡 연주회 I"</t>
  </si>
  <si>
    <t>712</t>
  </si>
  <si>
    <t>아니마 체임버 앙상블 실내악 음악회</t>
  </si>
  <si>
    <t>713</t>
  </si>
  <si>
    <t>피아노 듀오 MINO 리사이틀</t>
  </si>
  <si>
    <t>714</t>
  </si>
  <si>
    <t>유지홍 플루트 독주회</t>
  </si>
  <si>
    <t>715</t>
  </si>
  <si>
    <t>박재준 바이올린 독주회</t>
  </si>
  <si>
    <t>716</t>
  </si>
  <si>
    <t>한성은 플루트 리사이틀</t>
  </si>
  <si>
    <t>717</t>
  </si>
  <si>
    <t>김민지 플루트 리사이틀</t>
  </si>
  <si>
    <t>718</t>
  </si>
  <si>
    <t>김인하 첼로 독주회</t>
  </si>
  <si>
    <t>719</t>
  </si>
  <si>
    <t>피아니스트 안화영의 작곡가 시리즈 III</t>
  </si>
  <si>
    <t>720</t>
  </si>
  <si>
    <t>721</t>
  </si>
  <si>
    <t>최소영 피아노 독주회</t>
  </si>
  <si>
    <t>722</t>
  </si>
  <si>
    <t>임남희의 피아노 스토리 IX</t>
  </si>
  <si>
    <t>723</t>
  </si>
  <si>
    <t>김유미 바이올린 독주회</t>
  </si>
  <si>
    <t>724</t>
  </si>
  <si>
    <t>박지현 오보에 독주회</t>
  </si>
  <si>
    <t>725</t>
  </si>
  <si>
    <t>이윤의 바이올린 독주회</t>
  </si>
  <si>
    <t>726</t>
  </si>
  <si>
    <t>손상우 트롬본 독주회</t>
  </si>
  <si>
    <t>727</t>
  </si>
  <si>
    <t>최재희 클라리넷 리사이틀</t>
  </si>
  <si>
    <t>728</t>
  </si>
  <si>
    <t>나채원 플루트 독주회</t>
  </si>
  <si>
    <t>729</t>
  </si>
  <si>
    <t>최진이 피아노 독주회</t>
  </si>
  <si>
    <t>730</t>
  </si>
  <si>
    <t>이영우 피아노 독주회 &lt;음색과 조성 VI - in E&gt;</t>
  </si>
  <si>
    <t>731</t>
  </si>
  <si>
    <t>이새롬 클라리넷 독주회</t>
  </si>
  <si>
    <t>732</t>
  </si>
  <si>
    <t>서지원 플루트 독주회 A to Z Series America</t>
  </si>
  <si>
    <t>733</t>
  </si>
  <si>
    <t>바로크비올라 장민경 &amp; 첼로 정영안 듀오리사이틀</t>
  </si>
  <si>
    <t>734</t>
  </si>
  <si>
    <t>이재완 피아노 독주회</t>
  </si>
  <si>
    <t>735</t>
  </si>
  <si>
    <t>김정훈 바이올린 독주회</t>
  </si>
  <si>
    <t>736</t>
  </si>
  <si>
    <t>최수열의 밤 9시 즈음에 (7월)</t>
  </si>
  <si>
    <t>737</t>
  </si>
  <si>
    <t>스페니쉬 랩소디</t>
  </si>
  <si>
    <t>738</t>
  </si>
  <si>
    <t>제17회 정희석 트롬본 독주회</t>
  </si>
  <si>
    <t>739</t>
  </si>
  <si>
    <t>건우회 제13회 정기연주회</t>
  </si>
  <si>
    <t>740</t>
  </si>
  <si>
    <t>이창형 &amp; 손창인 더블베이스 듀오 리사이틀</t>
  </si>
  <si>
    <t>741</t>
  </si>
  <si>
    <t>강창대 귀국 더블베이스 독주회</t>
  </si>
  <si>
    <t>742</t>
  </si>
  <si>
    <t>피아모레 제6회 정기연주회</t>
  </si>
  <si>
    <t>743</t>
  </si>
  <si>
    <t>이해니 귀국 바이올린 독주회</t>
  </si>
  <si>
    <t>744</t>
  </si>
  <si>
    <t>피아니스트 김소연 초청 리사이틀</t>
  </si>
  <si>
    <t>745</t>
  </si>
  <si>
    <t>이광일 오보에 독주회</t>
  </si>
  <si>
    <t>746</t>
  </si>
  <si>
    <t>송지원 바이올린 독주회</t>
  </si>
  <si>
    <t>747</t>
  </si>
  <si>
    <t>장선아 플루트 독주회</t>
  </si>
  <si>
    <t>748</t>
  </si>
  <si>
    <t>김대욱 트럼펫 독주회 : 미국 작곡가의 트럼펫 음악 시리즈 IV</t>
  </si>
  <si>
    <t>749</t>
  </si>
  <si>
    <t>강보라 바이올린 독주회</t>
  </si>
  <si>
    <t>750</t>
  </si>
  <si>
    <t>정담온 클라리넷 독주회</t>
  </si>
  <si>
    <t>751</t>
  </si>
  <si>
    <t>채훈선 귀국 첼로 리사이틀</t>
  </si>
  <si>
    <t>752</t>
  </si>
  <si>
    <t>이세르게이&amp;이민지 듀오 시리즈 IV</t>
  </si>
  <si>
    <t>753</t>
  </si>
  <si>
    <t>장선우 플루트 독주회</t>
  </si>
  <si>
    <t>754</t>
  </si>
  <si>
    <t>정용환 귀국 피아노 독주회</t>
  </si>
  <si>
    <t>755</t>
  </si>
  <si>
    <t>앙상블 VoRA 6번째 프로젝트</t>
  </si>
  <si>
    <t>756</t>
  </si>
  <si>
    <t>이현주 플루트 독주회</t>
  </si>
  <si>
    <t>757</t>
  </si>
  <si>
    <t>2025 예술의전당 국제음악제 - 정지수 &amp; 바로크 인 블루</t>
  </si>
  <si>
    <t>758</t>
  </si>
  <si>
    <t>2025 예술의전당 국제음악제 - 노벨티 콰르텟</t>
  </si>
  <si>
    <t>759</t>
  </si>
  <si>
    <t>2025 예술의전당 국제음악제 - 브라스아츠 서울</t>
  </si>
  <si>
    <t>760</t>
  </si>
  <si>
    <t>2025 예술의전당 국제음악제 - 아스트 콰르텟</t>
  </si>
  <si>
    <t>761</t>
  </si>
  <si>
    <t>2025 예술의전당 국제음악제 - 리나 뚜르 보네트 &amp; 홍승아 &amp; 아렌트 흐로스펠트</t>
  </si>
  <si>
    <t>762</t>
  </si>
  <si>
    <t>박성진 첼로 독주회</t>
  </si>
  <si>
    <t>763</t>
  </si>
  <si>
    <t>피아니스트 탁영아 초청 리사이틀</t>
  </si>
  <si>
    <t>764</t>
  </si>
  <si>
    <t>박라영 타악기 독주회</t>
  </si>
  <si>
    <t>765</t>
  </si>
  <si>
    <t>권수미 유지수 제20회 피아노 듀오 秀 리사이틀 - 음악이 주는 선물 XX : 스무번째 이야기</t>
  </si>
  <si>
    <t>766</t>
  </si>
  <si>
    <t>심정은 피아노 독주회</t>
  </si>
  <si>
    <t>767</t>
  </si>
  <si>
    <t>원민지 첼로 독주회 "바흐 무반주 첼로 모음곡 전곡 시리즈 I"</t>
  </si>
  <si>
    <t>768</t>
  </si>
  <si>
    <t>박재린 바이올린 독주회 “베토벤 소나타 전곡 시리즈 Ⅱ”</t>
  </si>
  <si>
    <t>769</t>
  </si>
  <si>
    <t>유리슬 비올라 독주회</t>
  </si>
  <si>
    <t>770</t>
  </si>
  <si>
    <t>차민정 바이올린 독주회</t>
  </si>
  <si>
    <t>771</t>
  </si>
  <si>
    <t>이철민 피아노 독주회</t>
  </si>
  <si>
    <t>772</t>
  </si>
  <si>
    <t>베이스바리톤 권영명 리사이틀</t>
  </si>
  <si>
    <t>773</t>
  </si>
  <si>
    <t>이지은 귀국 첼로 독주회</t>
  </si>
  <si>
    <t>774</t>
  </si>
  <si>
    <t>이찬미 귀국 반주 리사이틀</t>
  </si>
  <si>
    <t>775</t>
  </si>
  <si>
    <t>홍진선 비올라 독주회</t>
  </si>
  <si>
    <t>776</t>
  </si>
  <si>
    <t>트리오 베스페로 정기연주회</t>
  </si>
  <si>
    <t>777</t>
  </si>
  <si>
    <t>한솔 귀국 플루트 &amp; 피콜로 독주회</t>
  </si>
  <si>
    <t>778</t>
  </si>
  <si>
    <t>이은준 플루트 독주회 - Origin of French Flute School: Souvenir de France II</t>
  </si>
  <si>
    <t>779</t>
  </si>
  <si>
    <t>780</t>
  </si>
  <si>
    <t>라 플루티시모 정기연주회</t>
  </si>
  <si>
    <t>781</t>
  </si>
  <si>
    <t>승경훈 플루트 독주회</t>
  </si>
  <si>
    <t>782</t>
  </si>
  <si>
    <t>이건용 트롬본 독주회</t>
  </si>
  <si>
    <t>783</t>
  </si>
  <si>
    <t>나재령 플루트 독주회</t>
  </si>
  <si>
    <t>784</t>
  </si>
  <si>
    <t>피아니스트 이재혁 실내악 시리즈 I</t>
  </si>
  <si>
    <t>785</t>
  </si>
  <si>
    <t>채유미 무반주 바이올린 리사이틀</t>
  </si>
  <si>
    <t>786</t>
  </si>
  <si>
    <t>나윤주 첼로 독주회</t>
  </si>
  <si>
    <t>787</t>
  </si>
  <si>
    <t>정선이 첼로 독주회</t>
  </si>
  <si>
    <t>788</t>
  </si>
  <si>
    <t>유자은 바이올린 독주회 “베토벤 바이올린 소나타 전곡 시리즈 2”</t>
  </si>
  <si>
    <t>789</t>
  </si>
  <si>
    <t>강주이 비올라 독주회</t>
  </si>
  <si>
    <t>790</t>
  </si>
  <si>
    <t>우영욱 플루트 독주회</t>
  </si>
  <si>
    <t>791</t>
  </si>
  <si>
    <t>한경진 바이올린 독주회</t>
  </si>
  <si>
    <t>792</t>
  </si>
  <si>
    <t>앙상블 자비에 정기연주회</t>
  </si>
  <si>
    <t>793</t>
  </si>
  <si>
    <t>유소영의 슈베르트 피아노 소나타 전곡 시리즈 1</t>
  </si>
  <si>
    <t>794</t>
  </si>
  <si>
    <t>박준선 작곡발표회</t>
  </si>
  <si>
    <t>공연연기(임)</t>
  </si>
  <si>
    <t>795</t>
  </si>
  <si>
    <t>최재원 바이올린 독주회</t>
  </si>
  <si>
    <t>796</t>
  </si>
  <si>
    <t>제4회 파사지오 앙상블 정기연주회</t>
  </si>
  <si>
    <t>797</t>
  </si>
  <si>
    <t>표규선 바순 독주회</t>
  </si>
  <si>
    <t>798</t>
  </si>
  <si>
    <t>제7회 어텀실내악페스티벌 ‘신념, Belief’ - 어텀살롱콘서트, 아티스트 초이스</t>
  </si>
  <si>
    <t>799</t>
  </si>
  <si>
    <t>이은지 하프시코드 독주회 &lt;바흐의 평균율 클라비어 곡집 제1권 전곡 연주회&gt;</t>
  </si>
  <si>
    <t>800</t>
  </si>
  <si>
    <t>오보이스트 강다해 &amp; 임유빈 듀오 리사이틀</t>
  </si>
  <si>
    <t>801</t>
  </si>
  <si>
    <t>이정아 피아노 독주회 &lt;베토벤 32 피아노 소나타 전곡 연주 마지막회&gt; Durch Leiden zur Freude</t>
  </si>
  <si>
    <t>802</t>
  </si>
  <si>
    <t>이민영의 음악산책 VI</t>
  </si>
  <si>
    <t>803</t>
  </si>
  <si>
    <t>김정은 피아노 독주회</t>
  </si>
  <si>
    <t>804</t>
  </si>
  <si>
    <t>손준만 더블베이스 독주회</t>
  </si>
  <si>
    <t>805</t>
  </si>
  <si>
    <t>장재영 클라리넷 독주회</t>
  </si>
  <si>
    <t>806</t>
  </si>
  <si>
    <t>문진성 클라리넷 독주회</t>
  </si>
  <si>
    <t>807</t>
  </si>
  <si>
    <t>피아니스트 이호열 리사이틀 &lt;프란츠 리스트 초절기교 연습곡 전곡&gt;</t>
  </si>
  <si>
    <t>808</t>
  </si>
  <si>
    <t>양영욱 색소폰 독주회 X</t>
  </si>
  <si>
    <t>809</t>
  </si>
  <si>
    <t>바이올리니스트 성경주의 베토벤 바이올린 소나타 전곡 연주 I</t>
  </si>
  <si>
    <t>810</t>
  </si>
  <si>
    <t>김나연 바로크 바이올린 독주회 The Bach Cycle II</t>
  </si>
  <si>
    <t>811</t>
  </si>
  <si>
    <t>황소원 피아노 독주회</t>
  </si>
  <si>
    <t>812</t>
  </si>
  <si>
    <t>유미정 피아노 독주회</t>
  </si>
  <si>
    <t>813</t>
  </si>
  <si>
    <t>김희진 피아노 독주회 모차르트 소나타 전곡 시리즈 2</t>
  </si>
  <si>
    <t>814</t>
  </si>
  <si>
    <t>트리오 이백이 리사이틀</t>
  </si>
  <si>
    <t>815</t>
  </si>
  <si>
    <t>양윤희 모차르트 피아노 소나타 전곡 시리즈 III</t>
  </si>
  <si>
    <t>816</t>
  </si>
  <si>
    <t>서민정 바이올린 독주회</t>
  </si>
  <si>
    <t>817</t>
  </si>
  <si>
    <t>이훈 피아노 독주회</t>
  </si>
  <si>
    <t>818</t>
  </si>
  <si>
    <t>추대희 더블베이스 리사이틀</t>
  </si>
  <si>
    <t>819</t>
  </si>
  <si>
    <t>김예슬 귀국 피아노 독주회</t>
  </si>
  <si>
    <t>기타</t>
  </si>
  <si>
    <t>820</t>
  </si>
  <si>
    <t>김예은 피아노 독주회</t>
  </si>
  <si>
    <t>821</t>
  </si>
  <si>
    <t>박경호 플루트 리사이틀</t>
  </si>
  <si>
    <t>822</t>
  </si>
  <si>
    <t>이진현 피아노 독주회</t>
  </si>
  <si>
    <t>823</t>
  </si>
  <si>
    <t>이송희 첼로 독주회</t>
  </si>
  <si>
    <t>824</t>
  </si>
  <si>
    <t>김수연 &amp; 김정림 두오 연주회 “그리그의 바이올린과 피아노를 위한 소나타 전곡 연주회”</t>
  </si>
  <si>
    <t>825</t>
  </si>
  <si>
    <t>정상욱 피아노 독주회</t>
  </si>
  <si>
    <t>826</t>
  </si>
  <si>
    <t>염은하 바이올린 독주회</t>
  </si>
  <si>
    <t>827</t>
  </si>
  <si>
    <t>윤형숙 피아노 독주회</t>
  </si>
  <si>
    <t>828</t>
  </si>
  <si>
    <t>장혜리 첼로 독주회</t>
  </si>
  <si>
    <t>829</t>
  </si>
  <si>
    <t>미래악회 창립 50주년 기념음악회</t>
  </si>
  <si>
    <t>830</t>
  </si>
  <si>
    <t>831</t>
  </si>
  <si>
    <t>박상현 콘트라베이스 독주회</t>
  </si>
  <si>
    <t>832</t>
  </si>
  <si>
    <t>피아니스트 박미정의 All That Art 6</t>
  </si>
  <si>
    <t>833</t>
  </si>
  <si>
    <t>이우일 바이올린 독주회 &lt;바이올린 오디세이&gt;</t>
  </si>
  <si>
    <t>834</t>
  </si>
  <si>
    <t>코리아나 챔버 뮤직 소사이어티 제90회 정기연주회</t>
  </si>
  <si>
    <t>835</t>
  </si>
  <si>
    <t>임경원 첼로 독주회</t>
  </si>
  <si>
    <t>836</t>
  </si>
  <si>
    <t>에르완 리샤 비올라 독주회</t>
  </si>
  <si>
    <t>837</t>
  </si>
  <si>
    <t>바이올리니스트 배시온의 아고긱</t>
  </si>
  <si>
    <t>838</t>
  </si>
  <si>
    <t>한국프랑스가곡연구회 제92회 정기연주회</t>
  </si>
  <si>
    <t>839</t>
  </si>
  <si>
    <t>The Piri 오보에 앙상블 제18회 정기연주회</t>
  </si>
  <si>
    <t>840</t>
  </si>
  <si>
    <t>소프라노 이정아 독창회</t>
  </si>
  <si>
    <t>841</t>
  </si>
  <si>
    <t>김옥길 호른 독주회</t>
  </si>
  <si>
    <t>842</t>
  </si>
  <si>
    <t>임태훈 호른 독주회</t>
  </si>
  <si>
    <t>843</t>
  </si>
  <si>
    <t>21세기악회 기획연주회 징검다리 프로젝트 II</t>
  </si>
  <si>
    <t>844</t>
  </si>
  <si>
    <t>조다정 피아노 독주회</t>
  </si>
  <si>
    <t>845</t>
  </si>
  <si>
    <t>제53회 범음악제 콘서트 V</t>
  </si>
  <si>
    <t>846</t>
  </si>
  <si>
    <t>윤석우 첼로 독주회</t>
  </si>
  <si>
    <t>847</t>
  </si>
  <si>
    <t>이주원 피아노 독주회</t>
  </si>
  <si>
    <t>848</t>
  </si>
  <si>
    <t>장희진 바로크 비올라 독주회</t>
  </si>
  <si>
    <t>849</t>
  </si>
  <si>
    <t>유문선 클라리넷 독주회</t>
  </si>
  <si>
    <t>850</t>
  </si>
  <si>
    <t>여음목관5중주 제36회 정기연주회</t>
  </si>
  <si>
    <t>851</t>
  </si>
  <si>
    <t>강수정 피아노 독주회</t>
  </si>
  <si>
    <t>852</t>
  </si>
  <si>
    <t>최수열의 밤 9시 즈음에 (11월)</t>
  </si>
  <si>
    <t>853</t>
  </si>
  <si>
    <t>오수안 바이올린 독주회</t>
  </si>
  <si>
    <t>854</t>
  </si>
  <si>
    <t>제26회 예술의전당 음악영재 콘서트</t>
  </si>
  <si>
    <t>855</t>
  </si>
  <si>
    <t>김문정 김홍준 박희정 피아노 트리오 연주회</t>
  </si>
  <si>
    <t>856</t>
  </si>
  <si>
    <t>857</t>
  </si>
  <si>
    <t>방인주 피아노 독주회 - Madness and Mystery in F#</t>
  </si>
  <si>
    <t>858</t>
  </si>
  <si>
    <t>플루티스트 이인 독주회</t>
  </si>
  <si>
    <t>859</t>
  </si>
  <si>
    <t>한국슈베르트협회 78회 정기연주회</t>
  </si>
  <si>
    <t>860</t>
  </si>
  <si>
    <t>홍윤호 비올라 리사이틀</t>
  </si>
  <si>
    <t>861</t>
  </si>
  <si>
    <t>윤은경 피아노 독주회 - Now or Never 시리즈 I `Awakening`</t>
  </si>
  <si>
    <t>862</t>
  </si>
  <si>
    <t>클라리네티스트 정준화 독주회</t>
  </si>
  <si>
    <t>863</t>
  </si>
  <si>
    <t>신재훈 클라리넷 독주회</t>
  </si>
  <si>
    <t>864</t>
  </si>
  <si>
    <t>이재은 첼로 독주회</t>
  </si>
  <si>
    <t>865</t>
  </si>
  <si>
    <t>최지호 첼로 독주회</t>
  </si>
  <si>
    <t>866</t>
  </si>
  <si>
    <t>이재영 첼로 독주회</t>
  </si>
  <si>
    <t>867</t>
  </si>
  <si>
    <t>박연민 리스트 순례의 해 전곡 리사이틀 II</t>
  </si>
  <si>
    <t>868</t>
  </si>
  <si>
    <t>박현 바이올린 독주회</t>
  </si>
  <si>
    <t>869</t>
  </si>
  <si>
    <t>서울기타콰르텟 26주년 정기 연주회</t>
  </si>
  <si>
    <t>870</t>
  </si>
  <si>
    <t>김영진 피아노 독주회 - 22번째 피아노 이야기 `건반 위의 회화`</t>
  </si>
  <si>
    <t>871</t>
  </si>
  <si>
    <t>허정인 첼로 독주회</t>
  </si>
  <si>
    <t>872</t>
  </si>
  <si>
    <t>임예지 귀국 타악기 독주회</t>
  </si>
  <si>
    <t>873</t>
  </si>
  <si>
    <t>이선진 바이올린 독주회</t>
  </si>
  <si>
    <t>874</t>
  </si>
  <si>
    <t>김도윤 바이올린 독주회</t>
  </si>
  <si>
    <t>875</t>
  </si>
  <si>
    <t>작곡동인 소리목 제46회 정기연주회</t>
  </si>
  <si>
    <t>876</t>
  </si>
  <si>
    <t>이윤하 첼로 독주회 바흐 전곡 시리즈 II</t>
  </si>
  <si>
    <t>877</t>
  </si>
  <si>
    <t>장린 더블베이스 독주회</t>
  </si>
  <si>
    <t>878</t>
  </si>
  <si>
    <t>이태인 첼로 독주회 - My B</t>
  </si>
  <si>
    <t>879</t>
  </si>
  <si>
    <t>임누리 바이올린 독주회</t>
  </si>
  <si>
    <t>880</t>
  </si>
  <si>
    <t>최지웅 윤소영 듀오 연주회 : 모차르트 소나타 전곡 시리즈 Ⅲ</t>
  </si>
  <si>
    <t>881</t>
  </si>
  <si>
    <t>김회진 바이올린 독주회</t>
  </si>
  <si>
    <t>882</t>
  </si>
  <si>
    <t>이강현 첼로 독주회</t>
  </si>
  <si>
    <t>883</t>
  </si>
  <si>
    <t>석유리 오보에 독주회</t>
  </si>
  <si>
    <t>884</t>
  </si>
  <si>
    <t>홍혜도 피아노독주회-파르티타와 위대한 변주곡 시리즈 3-최종회</t>
  </si>
  <si>
    <t>885</t>
  </si>
  <si>
    <t>크로스오버</t>
  </si>
  <si>
    <t>하프시코드 피아노를 입다</t>
  </si>
  <si>
    <t>886</t>
  </si>
  <si>
    <t>유지은 귀국 바이올린 독주회</t>
  </si>
  <si>
    <t>887</t>
  </si>
  <si>
    <t>하세연 첼로 독주회</t>
  </si>
  <si>
    <t>888</t>
  </si>
  <si>
    <t>곽지승 플루트 독주회</t>
  </si>
  <si>
    <t>889</t>
  </si>
  <si>
    <t>정성윤 클라라넷 독주회</t>
  </si>
  <si>
    <t>890</t>
  </si>
  <si>
    <t>임승훈 색소폰 독주회</t>
  </si>
  <si>
    <t>891</t>
  </si>
  <si>
    <t>조시온 피아노 독주회</t>
  </si>
  <si>
    <t>892</t>
  </si>
  <si>
    <t>김성은 비올라 독주회</t>
  </si>
  <si>
    <t>893</t>
  </si>
  <si>
    <t>유효정 바이올린 독주회</t>
  </si>
  <si>
    <t>894</t>
  </si>
  <si>
    <t>바이올리니스트 홍유빈 귀국 독주회</t>
  </si>
  <si>
    <t>895</t>
  </si>
  <si>
    <t>정다슬 피아노 독주회</t>
  </si>
  <si>
    <t>896</t>
  </si>
  <si>
    <t>정재원 피아노 독주회</t>
  </si>
  <si>
    <t>897</t>
  </si>
  <si>
    <t>테너 진성원 독창회</t>
  </si>
  <si>
    <t>898</t>
  </si>
  <si>
    <t>이은새 바이올린 독주회</t>
  </si>
  <si>
    <t>899</t>
  </si>
  <si>
    <t>피아니스트 이선호의 음악여행시리즈 2 독일과 헝가리</t>
  </si>
  <si>
    <t>900</t>
  </si>
  <si>
    <t>정진우 바이올린 독주회</t>
  </si>
  <si>
    <t>901</t>
  </si>
  <si>
    <t>이정은 피아노 독주회&lt;베토벤 피아노 소나타 전곡시리즈 5&gt;</t>
  </si>
  <si>
    <t>902</t>
  </si>
  <si>
    <t>트리오 메리디오 제4회 정기연주회</t>
  </si>
  <si>
    <t>903</t>
  </si>
  <si>
    <t>정나래 작곡 리사이틀 - 녹턴</t>
  </si>
  <si>
    <t>904</t>
  </si>
  <si>
    <t>2025 크리스마스 플러스</t>
  </si>
  <si>
    <t>905</t>
  </si>
  <si>
    <t>2025 크리스마스 콘서트</t>
  </si>
  <si>
    <t>906</t>
  </si>
  <si>
    <t>907</t>
  </si>
  <si>
    <t>정도행 피아노 독주회</t>
  </si>
  <si>
    <t>908</t>
  </si>
  <si>
    <t>함수연 초청 피아노 독주회</t>
  </si>
  <si>
    <t>909</t>
  </si>
  <si>
    <t>안미현 피아노 독주회</t>
  </si>
  <si>
    <t>910</t>
  </si>
  <si>
    <t>김은지 바이올린 독주회</t>
  </si>
  <si>
    <t>911</t>
  </si>
  <si>
    <t>이시현 피아노 리사이틀: Ein neuer Weg</t>
  </si>
  <si>
    <t>912</t>
  </si>
  <si>
    <t>장종선 클라리넷 독주회</t>
  </si>
  <si>
    <t>913</t>
  </si>
  <si>
    <t>윈썸 피아노 퀸텟 창단연주회</t>
  </si>
  <si>
    <t>인춘아트홀</t>
  </si>
  <si>
    <t>914</t>
  </si>
  <si>
    <t>조혜정 피아노 독주회</t>
  </si>
  <si>
    <t>915</t>
  </si>
  <si>
    <t>피아니스트 김경현의 클래식 힐링콘서트 4</t>
  </si>
  <si>
    <t>916</t>
  </si>
  <si>
    <t>투피아노 댄스</t>
  </si>
  <si>
    <t>917</t>
  </si>
  <si>
    <t>홍인하 클라리넷 리사이틀</t>
  </si>
  <si>
    <t>918</t>
  </si>
  <si>
    <t>하수진 피아노 독주회</t>
  </si>
  <si>
    <t>919</t>
  </si>
  <si>
    <t>정영인 귀국 피아노 독주회</t>
  </si>
  <si>
    <t>920</t>
  </si>
  <si>
    <t>앙상블 아리스 제1회 정기연주회</t>
  </si>
  <si>
    <t>921</t>
  </si>
  <si>
    <t>홍유진 피아노 리사이틀</t>
  </si>
  <si>
    <t>922</t>
  </si>
  <si>
    <t>디프 트리오 리사이틀</t>
  </si>
  <si>
    <t>923</t>
  </si>
  <si>
    <t>이명환 첼로 독주회</t>
  </si>
  <si>
    <t>924</t>
  </si>
  <si>
    <t>지호남 클래식기타 귀국독주회</t>
  </si>
  <si>
    <t>925</t>
  </si>
  <si>
    <t>이지혜 피아노 독주회</t>
  </si>
  <si>
    <t>926</t>
  </si>
  <si>
    <t>제6회 누클레오 앙상블 정기연주회</t>
  </si>
  <si>
    <t>927</t>
  </si>
  <si>
    <t>염희선 피아노 독주회</t>
  </si>
  <si>
    <t>928</t>
  </si>
  <si>
    <t>최희훈 색소폰 리사이틀</t>
  </si>
  <si>
    <t>929</t>
  </si>
  <si>
    <t>930</t>
  </si>
  <si>
    <t>홍빈 귀국 바이올린 독주회</t>
  </si>
  <si>
    <t>931</t>
  </si>
  <si>
    <t>문예진&amp;김다희 피아노 듀오 리사이틀</t>
  </si>
  <si>
    <t>932</t>
  </si>
  <si>
    <t>김수정 피아노 독주회</t>
  </si>
  <si>
    <t>933</t>
  </si>
  <si>
    <t>김민지 피아노 독주회</t>
  </si>
  <si>
    <t>934</t>
  </si>
  <si>
    <t>베어콰르텟 제 2회 정기연주회</t>
  </si>
  <si>
    <t>935</t>
  </si>
  <si>
    <t>피아노 다 카메라 제14회 정기연주회</t>
  </si>
  <si>
    <t>936</t>
  </si>
  <si>
    <t>앙상블 크베어 정기연주회</t>
  </si>
  <si>
    <t>937</t>
  </si>
  <si>
    <t>이우진 하프 독주회</t>
  </si>
  <si>
    <t>938</t>
  </si>
  <si>
    <t>박인영 피아노 귀국 독주회</t>
  </si>
  <si>
    <t>939</t>
  </si>
  <si>
    <t>이민규 피아노 독주회</t>
  </si>
  <si>
    <t>940</t>
  </si>
  <si>
    <t>우미혜 피아노 독주회</t>
  </si>
  <si>
    <t>941</t>
  </si>
  <si>
    <t>피아노 듀오 ‘Two 폼’ 창단연주회</t>
  </si>
  <si>
    <t>942</t>
  </si>
  <si>
    <t>조우식 피아노 독주회</t>
  </si>
  <si>
    <t>943</t>
  </si>
  <si>
    <t>리체르카타 시리즈 I _ 플루트</t>
  </si>
  <si>
    <t>944</t>
  </si>
  <si>
    <t>유혜인 바이올린 독주회</t>
  </si>
  <si>
    <t>945</t>
  </si>
  <si>
    <t>트리오 세레나 제 2회 정기연주회</t>
  </si>
  <si>
    <t>946</t>
  </si>
  <si>
    <t>박현정 플루트 독주회</t>
  </si>
  <si>
    <t>947</t>
  </si>
  <si>
    <t>한중교류음악회</t>
  </si>
  <si>
    <t>948</t>
  </si>
  <si>
    <t>김신혜 &amp; 함유진 듀오 리사이틀</t>
  </si>
  <si>
    <t>949</t>
  </si>
  <si>
    <t>피아니스트 강세라 &amp; 안희정 피아노 듀오 온 리사이틀</t>
  </si>
  <si>
    <t>950</t>
  </si>
  <si>
    <t>목혜진 최은진 듀오 리사이틀</t>
  </si>
  <si>
    <t>951</t>
  </si>
  <si>
    <t>김성현 피아노 독주회</t>
  </si>
  <si>
    <t>952</t>
  </si>
  <si>
    <t>홍인경 피아노 독주회</t>
  </si>
  <si>
    <t>953</t>
  </si>
  <si>
    <t>홍은주 비올라 독주회</t>
  </si>
  <si>
    <t>954</t>
  </si>
  <si>
    <t>소프라노 이현숙 독창회</t>
  </si>
  <si>
    <t>955</t>
  </si>
  <si>
    <t>이영주피아노독주회</t>
  </si>
  <si>
    <t>956</t>
  </si>
  <si>
    <t>감미로운 시간</t>
  </si>
  <si>
    <t>957</t>
  </si>
  <si>
    <t>송민주 피아노 독주회</t>
  </si>
  <si>
    <t>958</t>
  </si>
  <si>
    <t>이영신 피아노 독주회</t>
  </si>
  <si>
    <t>959</t>
  </si>
  <si>
    <t>유미향 &amp; 이고은 피아노 듀오 리사이틀</t>
  </si>
  <si>
    <t>960</t>
  </si>
  <si>
    <t>임재경 작곡발표회</t>
  </si>
  <si>
    <t>961</t>
  </si>
  <si>
    <t>이선미 피아노 독주회</t>
  </si>
  <si>
    <t>962</t>
  </si>
  <si>
    <t>구희원 바이올린 독주회</t>
  </si>
  <si>
    <t>963</t>
  </si>
  <si>
    <t>베이스바리톤 박상욱 독창회</t>
  </si>
  <si>
    <t>964</t>
  </si>
  <si>
    <t>2/1일공연재시작</t>
  </si>
  <si>
    <t>965</t>
  </si>
  <si>
    <t>피아니스트 배인경의 동행 Ⅷ &lt;베토벤 피아노 소나타: 비창, 월광, 열정&gt;</t>
  </si>
  <si>
    <t>966</t>
  </si>
  <si>
    <t>소리의 미학, 아름다운 선율로 그려낸 꿈</t>
  </si>
  <si>
    <t>967</t>
  </si>
  <si>
    <t>해설이 있는 김보라 피아노 독주회</t>
  </si>
  <si>
    <t>968</t>
  </si>
  <si>
    <t>피아니스트 박기이 리사이틀</t>
  </si>
  <si>
    <t>969</t>
  </si>
  <si>
    <t>홍예경 피아노 독주회</t>
  </si>
  <si>
    <t>970</t>
  </si>
  <si>
    <t>피아노포르테의 추억 VII</t>
  </si>
  <si>
    <t>971</t>
  </si>
  <si>
    <t>이승연 피아노 독주회</t>
  </si>
  <si>
    <t>972</t>
  </si>
  <si>
    <t>제2회 최강듀오 정기연주회</t>
  </si>
  <si>
    <t>973</t>
  </si>
  <si>
    <t>안영신 첼로 독주회</t>
  </si>
  <si>
    <t>974</t>
  </si>
  <si>
    <t>홍인표 귀국 클라리넷 독주회</t>
  </si>
  <si>
    <t>975</t>
  </si>
  <si>
    <t>코펙스 챔버 실내악 시리즈</t>
  </si>
  <si>
    <t>976</t>
  </si>
  <si>
    <t>최민혜 피아노 독주회</t>
  </si>
  <si>
    <t>977</t>
  </si>
  <si>
    <t>정재원 피아노 리사이틀 &lt;해설이 있는 베토벤 소나타 전곡시리즈 3: `Pathétique(비창)`&gt;</t>
  </si>
  <si>
    <t>09일이후:1~3팀순환</t>
  </si>
  <si>
    <t>공연취소(참사일12/29~01/09일까지)</t>
  </si>
  <si>
    <t>978</t>
  </si>
  <si>
    <t>이수빈 피아노 독주회</t>
  </si>
  <si>
    <t>979</t>
  </si>
  <si>
    <t>트리오 클랑아이넨 리사이틀</t>
  </si>
  <si>
    <t>980</t>
  </si>
  <si>
    <t>리벤토콰르텟 2025 정기연주회</t>
  </si>
  <si>
    <t>981</t>
  </si>
  <si>
    <t>홍유진 반주 리사이틀</t>
  </si>
  <si>
    <t>982</t>
  </si>
  <si>
    <t>최자은 포르테피아노 독주회</t>
  </si>
  <si>
    <t>983</t>
  </si>
  <si>
    <t>아티너스 33회 정기연주회</t>
  </si>
  <si>
    <t>984</t>
  </si>
  <si>
    <t>이은숙 피아노 독주회</t>
  </si>
  <si>
    <t>985</t>
  </si>
  <si>
    <t>건반위의 오페라</t>
  </si>
  <si>
    <t>986</t>
  </si>
  <si>
    <t>피아니스트 민효인의 음악속으로 시리즈 IV</t>
  </si>
  <si>
    <t>987</t>
  </si>
  <si>
    <t>콰르텟 플로 제1회 정기연주회</t>
  </si>
  <si>
    <t>988</t>
  </si>
  <si>
    <t>윤현임 플루트 독주회</t>
  </si>
  <si>
    <t>일정변경(01/25~</t>
  </si>
  <si>
    <t>989</t>
  </si>
  <si>
    <t>피아니스트 양 지 리사이틀: 어린이를 위한 피아노 음악 - W.A. Mozart</t>
  </si>
  <si>
    <t>990</t>
  </si>
  <si>
    <t>조혜경 피아노 독주회</t>
  </si>
  <si>
    <t>991</t>
  </si>
  <si>
    <t>김선주 피아노 독주회 XX</t>
  </si>
  <si>
    <t>992</t>
  </si>
  <si>
    <t>최미애 피아노 독주회</t>
  </si>
  <si>
    <t>993</t>
  </si>
  <si>
    <t>노안나 첼로 독주회 `비르투오조`</t>
  </si>
  <si>
    <t>994</t>
  </si>
  <si>
    <t>박은혜 피아노 독주회</t>
  </si>
  <si>
    <t>995</t>
  </si>
  <si>
    <t>이현정 첼로 독주회</t>
  </si>
  <si>
    <t>996</t>
  </si>
  <si>
    <t>아코르데 작곡가 시리즈 I</t>
  </si>
  <si>
    <t>997</t>
  </si>
  <si>
    <t>테너 조중혁 독창회</t>
  </si>
  <si>
    <t>998</t>
  </si>
  <si>
    <t>음악예술학회 20주년 기념연주회 I</t>
  </si>
  <si>
    <t>999</t>
  </si>
  <si>
    <t>공원영 피아노 독주회</t>
  </si>
  <si>
    <t>금혜승 피아노 독주회</t>
  </si>
  <si>
    <t>기타인원</t>
  </si>
  <si>
    <t>2부결혼식예정</t>
  </si>
  <si>
    <t>이윤희 김소희 피아노 듀오 리사이틀</t>
  </si>
  <si>
    <t>박수경 바이올린 독주회 : 모차르트 바이올린 소나타 전곡 연주회 1</t>
  </si>
  <si>
    <t>김희은 귀국 바이올린 독주회</t>
  </si>
  <si>
    <t>1000</t>
  </si>
  <si>
    <t>장은제 피아노 독주회</t>
  </si>
  <si>
    <t>1001</t>
  </si>
  <si>
    <t>김예슬 피아노 리사이틀</t>
  </si>
  <si>
    <t>1002</t>
  </si>
  <si>
    <t>한창환 피아노 독주회</t>
  </si>
  <si>
    <t>1003</t>
  </si>
  <si>
    <t>송보경 피아노 독주회</t>
  </si>
  <si>
    <t>1004</t>
  </si>
  <si>
    <t>선소진, 최주연 듀오 연주회</t>
  </si>
  <si>
    <t>1005</t>
  </si>
  <si>
    <t>김민상 카운터테너 - JASON BAE PIANO</t>
  </si>
  <si>
    <t>1006</t>
  </si>
  <si>
    <t>차미연 피아노 독주회 - 낭만주의 시대의 사랑</t>
  </si>
  <si>
    <t>1007</t>
  </si>
  <si>
    <t>이지원 바이올린 독주회</t>
  </si>
  <si>
    <t>1008</t>
  </si>
  <si>
    <t>제2회 크레아 트리오 정기연주회</t>
  </si>
  <si>
    <t>1009</t>
  </si>
  <si>
    <t>김승미 피아노 독주회</t>
  </si>
  <si>
    <t>1010</t>
  </si>
  <si>
    <t>한⦁중 성악가 초청 배윤빈 반주 리사이틀</t>
  </si>
  <si>
    <t>1011</t>
  </si>
  <si>
    <t>디사이드 두번째 콘서트</t>
  </si>
  <si>
    <t>1012</t>
  </si>
  <si>
    <t>김신형 피아노 독주회</t>
  </si>
  <si>
    <t>1013</t>
  </si>
  <si>
    <t>이지은 귀국 바이올린 독주회</t>
  </si>
  <si>
    <t>1014</t>
  </si>
  <si>
    <t>김용화 피아노 독주회</t>
  </si>
  <si>
    <t>1015</t>
  </si>
  <si>
    <t>맹주희 바이올린 독주회</t>
  </si>
  <si>
    <t>1016</t>
  </si>
  <si>
    <t>앙상블S 제8회 정기연주회</t>
  </si>
  <si>
    <t>1017</t>
  </si>
  <si>
    <t>박지영 바이올린 독주회</t>
  </si>
  <si>
    <t>1018</t>
  </si>
  <si>
    <t>You &amp; I Ensemble 제8회 정기연주회</t>
  </si>
  <si>
    <t>1019</t>
  </si>
  <si>
    <t>김채은 피아노 독주회</t>
  </si>
  <si>
    <t>1020</t>
  </si>
  <si>
    <t>제1회 오스트리아 린츠 안톤 브루크너 음악대학교 동문음악회</t>
  </si>
  <si>
    <t>1021</t>
  </si>
  <si>
    <t>소프라노 김현정 체칠리아 리사이틀</t>
  </si>
  <si>
    <t>1022</t>
  </si>
  <si>
    <t>한지현 피아노 독주회</t>
  </si>
  <si>
    <t>1023</t>
  </si>
  <si>
    <t>예술의전당 인춘아트홀 Special THE NEXT(피아노 이정우)</t>
  </si>
  <si>
    <t>1024</t>
  </si>
  <si>
    <t>이한나 &amp; 정선아 해설이 있는 듀오 리사이틀</t>
  </si>
  <si>
    <t>1025</t>
  </si>
  <si>
    <t>김동준 피아노 독주회</t>
  </si>
  <si>
    <t>1026</t>
  </si>
  <si>
    <t>앙상블 아르모넬라 창단연주회</t>
  </si>
  <si>
    <t>1027</t>
  </si>
  <si>
    <t>쥬멜 듀오 피아노 리사이틀</t>
  </si>
  <si>
    <t>1028</t>
  </si>
  <si>
    <t>양명진 피아노 독주회</t>
  </si>
  <si>
    <t>1029</t>
  </si>
  <si>
    <t>권주희 피아노 독주회</t>
  </si>
  <si>
    <t>1030</t>
  </si>
  <si>
    <t>박서영 피아노 독주회</t>
  </si>
  <si>
    <t>1031</t>
  </si>
  <si>
    <t>목관 오중주 목음 정기연주회</t>
  </si>
  <si>
    <t>1032</t>
  </si>
  <si>
    <t>손호용 클라리넷 독주회</t>
  </si>
  <si>
    <t>1033</t>
  </si>
  <si>
    <t>라인챔버앙상블 정기연주회</t>
  </si>
  <si>
    <t>1034</t>
  </si>
  <si>
    <t>안희정 피아노 독주회</t>
  </si>
  <si>
    <t>1035</t>
  </si>
  <si>
    <t>정아연 피아노 독주회</t>
  </si>
  <si>
    <t>1036</t>
  </si>
  <si>
    <t>홍보경 첼로 독주회</t>
  </si>
  <si>
    <t>1037</t>
  </si>
  <si>
    <t>소프라노 김원진 독창회</t>
  </si>
  <si>
    <t>1038</t>
  </si>
  <si>
    <t>이정혜 플루트 독주회</t>
  </si>
  <si>
    <t>1039</t>
  </si>
  <si>
    <t>홍청의 반주 리사이틀 - 예술가곡 시리즈 I</t>
  </si>
  <si>
    <t>1040</t>
  </si>
  <si>
    <t>제6회 이화라로제 정기연주회</t>
  </si>
  <si>
    <t>1041</t>
  </si>
  <si>
    <t>음악예술학회 20주년 기념음악회 II</t>
  </si>
  <si>
    <t>1042</t>
  </si>
  <si>
    <t>제 2회 강미루 클라리넷 독주회</t>
  </si>
  <si>
    <t>1043</t>
  </si>
  <si>
    <t>문미선 피아노 독주회</t>
  </si>
  <si>
    <t>1044</t>
  </si>
  <si>
    <t>박종화 피아노 독주회</t>
  </si>
  <si>
    <t>1045</t>
  </si>
  <si>
    <t>피아노 듀오 아브릴 리사이틀 - 조성 시리즈 : D</t>
  </si>
  <si>
    <t>1046</t>
  </si>
  <si>
    <t>발밤아트 프로젝트 XXII</t>
  </si>
  <si>
    <t>1047</t>
  </si>
  <si>
    <t>정푸름 피아노 독주회</t>
  </si>
  <si>
    <t>1048</t>
  </si>
  <si>
    <t>클레어 플루트 콰르텟 창단 연주회</t>
  </si>
  <si>
    <t>1049</t>
  </si>
  <si>
    <t>예술의전당 인춘아트홀 Special THE NEXT(더블베이스 유시헌)</t>
  </si>
  <si>
    <t>1050</t>
  </si>
  <si>
    <t>피아노랑 놀자II with 앙상블 크빈톨레</t>
  </si>
  <si>
    <t>1051</t>
  </si>
  <si>
    <t>김희정 피아노 독주회</t>
  </si>
  <si>
    <t>1052</t>
  </si>
  <si>
    <t>신지은 피아노 독주회</t>
  </si>
  <si>
    <t>1053</t>
  </si>
  <si>
    <t>랑데뷰 드 라 무지크 페스티벌 2025 (08.20)</t>
  </si>
  <si>
    <t>1054</t>
  </si>
  <si>
    <t>랑데뷰 드 라 무지크 페스티벌 2025 (08.21)</t>
  </si>
  <si>
    <t>1055</t>
  </si>
  <si>
    <t>2025 온드림 아티스트 시리즈 I : 비올리스트 유혜림</t>
  </si>
  <si>
    <t>1056</t>
  </si>
  <si>
    <t>2025 온드림 아티스트 시리즈 II : 베이스바리톤 김재율</t>
  </si>
  <si>
    <t>1057</t>
  </si>
  <si>
    <t>프라이탁 리트 듀오 리사이틀</t>
  </si>
  <si>
    <t>1058</t>
  </si>
  <si>
    <t>유예지 피아노 독주회</t>
  </si>
  <si>
    <t>1059</t>
  </si>
  <si>
    <t>한가현 김로운 조인트 리사이틀</t>
  </si>
  <si>
    <t>1060</t>
  </si>
  <si>
    <t>2025 온드림 아티스트 시리즈 III : 호르니스트 최선율</t>
  </si>
  <si>
    <t>1061</t>
  </si>
  <si>
    <t>나은아 &amp; Stanislav Pronin 바이올린 듀오 리사이틀</t>
  </si>
  <si>
    <t>1062</t>
  </si>
  <si>
    <t>첼리스트 차혜수 &amp; 피아니스트 이희라 듀오 연주회</t>
  </si>
  <si>
    <t>1063</t>
  </si>
  <si>
    <t>제17회 로고스 앙상블 정기연주회</t>
  </si>
  <si>
    <t>1064</t>
  </si>
  <si>
    <t>제3의 공간</t>
  </si>
  <si>
    <t>1065</t>
  </si>
  <si>
    <t>김민숙&amp;홍혜도 다섯번째 브람스시리즈: 에필로그</t>
  </si>
  <si>
    <t>1066</t>
  </si>
  <si>
    <t>오브와 목관 앙상블 연주회</t>
  </si>
  <si>
    <t>1067</t>
  </si>
  <si>
    <t>정다운 피아노 독주회</t>
  </si>
  <si>
    <t>1068</t>
  </si>
  <si>
    <t>유미향 피아노 독주회 "베토벤 피아노 소나타 전곡 연주회 II"</t>
  </si>
  <si>
    <t>1069</t>
  </si>
  <si>
    <t>고수진 피아노 독주회</t>
  </si>
  <si>
    <t>1070</t>
  </si>
  <si>
    <t>플루티스트 윤현임 X 피아니스트 신주연 제10회 듀오 리사이틀</t>
  </si>
  <si>
    <t>1071</t>
  </si>
  <si>
    <t>제2회 인춘 작은음악회</t>
  </si>
  <si>
    <t>1072</t>
  </si>
  <si>
    <t>2025 전쟁과 음악</t>
  </si>
  <si>
    <t>1073</t>
  </si>
  <si>
    <t>권다혜 클라리넷 독주회</t>
  </si>
  <si>
    <t>1074</t>
  </si>
  <si>
    <t>정시은 바이올린 독주회</t>
  </si>
  <si>
    <t>1075</t>
  </si>
  <si>
    <t>류경선 작곡발표회</t>
  </si>
  <si>
    <t>1076</t>
  </si>
  <si>
    <t>장지원 피아노 독주회</t>
  </si>
  <si>
    <t>1077</t>
  </si>
  <si>
    <t>이기상 피아노 귀국 독주회</t>
  </si>
  <si>
    <t>1078</t>
  </si>
  <si>
    <t>심관섭 피아노 독주회 - Collections</t>
  </si>
  <si>
    <t>1079</t>
  </si>
  <si>
    <t>1080</t>
  </si>
  <si>
    <t>신정아 피아노 독주회</t>
  </si>
  <si>
    <t>1081</t>
  </si>
  <si>
    <t>1082</t>
  </si>
  <si>
    <t>조가람 피아노 독주회</t>
  </si>
  <si>
    <t>1083</t>
  </si>
  <si>
    <t>김슬기 피아노 독주회</t>
  </si>
  <si>
    <t>1084</t>
  </si>
  <si>
    <t>2025 첼로 두오 헤르츠 리사이틀</t>
  </si>
  <si>
    <t>1085</t>
  </si>
  <si>
    <t>어린이와 청소년을 위한 클래식 콘서트</t>
  </si>
  <si>
    <t>1086</t>
  </si>
  <si>
    <t>김상호 첼로 독주회</t>
  </si>
  <si>
    <t>1087</t>
  </si>
  <si>
    <t>뮤제스트 앙상블 제3회 정기연주회</t>
  </si>
  <si>
    <t>1088</t>
  </si>
  <si>
    <t>홍승혜, 홍승연 듀오 리사이틀</t>
  </si>
  <si>
    <t>1089</t>
  </si>
  <si>
    <t>이진화 피아노 독주회</t>
  </si>
  <si>
    <t>1090</t>
  </si>
  <si>
    <t>박민 바이올린 독주회</t>
  </si>
  <si>
    <t>1091</t>
  </si>
  <si>
    <t>박경화 바이올린 독주회 "슈만 소나타 전곡 시리즈"</t>
  </si>
  <si>
    <t>1092</t>
  </si>
  <si>
    <t>김연주 피아노 독주회</t>
  </si>
  <si>
    <t>1093</t>
  </si>
  <si>
    <t>투치아잉 피아노 리사이틀</t>
  </si>
  <si>
    <t>1094</t>
  </si>
  <si>
    <t>피아니스트 김민준의 작곡가 시리즈</t>
  </si>
  <si>
    <t>1095</t>
  </si>
  <si>
    <t>이지은 비올라 독주회</t>
  </si>
  <si>
    <t>1096</t>
  </si>
  <si>
    <t>이준서 비올라 독주회</t>
  </si>
  <si>
    <t>1097</t>
  </si>
  <si>
    <t>피아니스트 김현정의 어울림 IV</t>
  </si>
  <si>
    <t>1098</t>
  </si>
  <si>
    <t>이루이사 피아노·쳄발로 리사이틀</t>
  </si>
  <si>
    <t>1099</t>
  </si>
  <si>
    <t>김태정 주희선 피아노 듀오 리사이틀 - Russian Passion</t>
  </si>
  <si>
    <t>1100</t>
  </si>
  <si>
    <t>피아니스트 정민경의 작곡가 시리즈</t>
  </si>
  <si>
    <t>1101</t>
  </si>
  <si>
    <t>김송은 첼로 독주회</t>
  </si>
  <si>
    <t>1102</t>
  </si>
  <si>
    <t>유수현 피아노 독주회 - All that Schumann I</t>
  </si>
  <si>
    <t>1103</t>
  </si>
  <si>
    <t>테너 최원혁 리사이틀 “Sound of Baritenor: 테너와 바리톤을 잇다”</t>
  </si>
  <si>
    <t>1104</t>
  </si>
  <si>
    <t>정음피아노앙상블 제6회 정기연주회</t>
  </si>
  <si>
    <t>1105</t>
  </si>
  <si>
    <t>윤정아 피아노 독주회</t>
  </si>
  <si>
    <t>1106</t>
  </si>
  <si>
    <t>캐롤 윈센스 플루트 독주회</t>
  </si>
  <si>
    <t>1107</t>
  </si>
  <si>
    <t>양민제 피아노 독주회</t>
  </si>
  <si>
    <t>1108</t>
  </si>
  <si>
    <t>김욱 귀국 첼로 독주회</t>
  </si>
  <si>
    <t>1109</t>
  </si>
  <si>
    <t>김민지 피아노 독주회 "슈베르트 피아노 소나타 전곡 연주회 I"</t>
  </si>
  <si>
    <t>1110</t>
  </si>
  <si>
    <t>앙상블 카두시우스 제5회 정기연주회 World Rhythm Project</t>
  </si>
  <si>
    <t>1111</t>
  </si>
  <si>
    <t>1112</t>
  </si>
  <si>
    <t>이영신&amp;장진영 피아노 듀오 리사이틀</t>
  </si>
  <si>
    <t>1113</t>
  </si>
  <si>
    <t>소프라노 신영미 독창회</t>
  </si>
  <si>
    <t>1114</t>
  </si>
  <si>
    <t>베토벤과 브람스</t>
  </si>
  <si>
    <t>1115</t>
  </si>
  <si>
    <t>박윤우 음반 발매 기념 콘서트 - Hommage</t>
  </si>
  <si>
    <t>1116</t>
  </si>
  <si>
    <t>예술의전당 인춘아트홀 Special THE NEXT(바이올린 김서현)</t>
  </si>
  <si>
    <t>1117</t>
  </si>
  <si>
    <t>박솔 피아노 독주회</t>
  </si>
  <si>
    <t>1118</t>
  </si>
  <si>
    <t>원연민 피아노 독주회</t>
  </si>
  <si>
    <t>1119</t>
  </si>
  <si>
    <t>황수연 피아노 독주회</t>
  </si>
  <si>
    <t>1120</t>
  </si>
  <si>
    <t>예술의전당 인춘아트홀 Special THE NEXT(바이올린 임도경)</t>
  </si>
  <si>
    <t>1121</t>
  </si>
  <si>
    <t>이수정 피아노 독주회</t>
  </si>
  <si>
    <t>1122</t>
  </si>
  <si>
    <t>송인정 첼로 독주회</t>
  </si>
  <si>
    <t>1123</t>
  </si>
  <si>
    <t>앙상블 `Saldo`</t>
  </si>
  <si>
    <t>1124</t>
  </si>
  <si>
    <t>1125</t>
  </si>
  <si>
    <t>이지은 바이올린 독주회</t>
  </si>
  <si>
    <t>1126</t>
  </si>
  <si>
    <t>한주형 피아노 독주회</t>
  </si>
  <si>
    <t>1127</t>
  </si>
  <si>
    <t>제5회 미국 캔자스 음악대학 동문음악회</t>
  </si>
  <si>
    <t>1128</t>
  </si>
  <si>
    <t>들어볼래? 우리들의 이야기</t>
  </si>
  <si>
    <t>1129</t>
  </si>
  <si>
    <t>정혜경 피아노 독주회</t>
  </si>
  <si>
    <t>1130</t>
  </si>
  <si>
    <t>김혜령 비올라 독주회</t>
  </si>
  <si>
    <t>1131</t>
  </si>
  <si>
    <t>정혜은 피아노 독주회</t>
  </si>
  <si>
    <t>1132</t>
  </si>
  <si>
    <t>솔로와 실내악</t>
  </si>
  <si>
    <t>1133</t>
  </si>
  <si>
    <t>피아노 듀오 L 리사이틀</t>
  </si>
  <si>
    <t>1134</t>
  </si>
  <si>
    <t>최은진 정푸름 듀오 연주회</t>
  </si>
  <si>
    <t>1135</t>
  </si>
  <si>
    <t>앙상블 그랑 정기연주회</t>
  </si>
  <si>
    <t>1136</t>
  </si>
  <si>
    <t>김진영 바이올린 독주회</t>
  </si>
  <si>
    <t>1137</t>
  </si>
  <si>
    <t>김선희 바이올린 독주회</t>
  </si>
  <si>
    <t>1138</t>
  </si>
  <si>
    <t>김초아 피아노 독주회 - 낭만주의 컬렉션 시리즈 II : 로베르트 슈만</t>
  </si>
  <si>
    <t>1139</t>
  </si>
  <si>
    <t>이귀엽 오보에 독주회</t>
  </si>
  <si>
    <t>1140</t>
  </si>
  <si>
    <t>정연재 첼로 독주회</t>
  </si>
  <si>
    <t>1141</t>
  </si>
  <si>
    <t>김신준 피아노 독주회</t>
  </si>
  <si>
    <t>1142</t>
  </si>
  <si>
    <t>송성준 피아노 독주회</t>
  </si>
  <si>
    <t>1143</t>
  </si>
  <si>
    <t>1144</t>
  </si>
  <si>
    <t>인간</t>
  </si>
  <si>
    <t>1145</t>
  </si>
  <si>
    <t>CMS 행사 테스트 24.05.16</t>
  </si>
  <si>
    <t>1146</t>
  </si>
  <si>
    <t>이영교 피아노 독주회 - 모차르트 피아노 소나타 전곡시리즈 I</t>
  </si>
  <si>
    <t>1147</t>
  </si>
  <si>
    <t>김채원 바이올린 리사이틀</t>
  </si>
  <si>
    <t>1148</t>
  </si>
  <si>
    <t>크리스마스 콘서트 `Love`</t>
  </si>
  <si>
    <t>1149</t>
  </si>
  <si>
    <t>앙상블 라퐁뗀과 함께하는 크리스마스 콘서트</t>
  </si>
  <si>
    <t>1150</t>
  </si>
  <si>
    <t>레페만돌린기타앙상블 제6회 정기연주회</t>
  </si>
  <si>
    <t>1151</t>
  </si>
  <si>
    <t>하승민 피아노 독주회</t>
  </si>
  <si>
    <t>1152</t>
  </si>
  <si>
    <t>황지혜 피아노 독주회</t>
  </si>
  <si>
    <t>1153</t>
  </si>
  <si>
    <t>제5회 예니크 트리오 정기연주회</t>
  </si>
  <si>
    <t>1154</t>
  </si>
  <si>
    <t>조선 피아노 독주회</t>
  </si>
  <si>
    <t>1155</t>
  </si>
  <si>
    <t>오페라하우스</t>
  </si>
  <si>
    <t>뮤지컬</t>
  </si>
  <si>
    <t>웃는 남자</t>
  </si>
  <si>
    <t>2025-01-09 ~ 2025-03-09</t>
  </si>
  <si>
    <t>오페라극장</t>
  </si>
  <si>
    <t>1156</t>
  </si>
  <si>
    <t>오페라</t>
  </si>
  <si>
    <t>국립오페라단 정기공연 오페라 &lt;피가로의 결혼&gt;</t>
  </si>
  <si>
    <t>2025-03-20 ~ 2025-03-23</t>
  </si>
  <si>
    <t>1157</t>
  </si>
  <si>
    <t>뮤지컬 돈 주앙 프렌치 오리지널 내한공연</t>
  </si>
  <si>
    <t>2025-04-04 ~ 2025-04-13</t>
  </si>
  <si>
    <t>1158</t>
  </si>
  <si>
    <t>발레</t>
  </si>
  <si>
    <t>유니버설발레단 &lt;지젤&gt;</t>
  </si>
  <si>
    <t>2025-04-18 ~ 2025-04-27</t>
  </si>
  <si>
    <t>1159</t>
  </si>
  <si>
    <t>국립발레단_카멜리아 레이디</t>
  </si>
  <si>
    <t>2025-05-07 ~ 2025-05-11</t>
  </si>
  <si>
    <t>1160</t>
  </si>
  <si>
    <t>2025 예술의전당 신작 오페라 &lt;The Rising World: 물의 정령&gt;</t>
  </si>
  <si>
    <t>2025-05-25 ~ 2025-05-31</t>
  </si>
  <si>
    <t>1161</t>
  </si>
  <si>
    <t>제16회 대한민국오페라페스티벌 글로리아오페라단 &lt;카르멘&gt;</t>
  </si>
  <si>
    <t>2025-06-06 ~ 2025-06-08</t>
  </si>
  <si>
    <t>1162</t>
  </si>
  <si>
    <t>제16회 대한민국오페라페스티벌 누오바오페라단 &lt;라보엠&gt;</t>
  </si>
  <si>
    <t>2025-06-13 ~ 2025-06-15</t>
  </si>
  <si>
    <t>1163</t>
  </si>
  <si>
    <t>국립오페라단 정기공연 오페라 &lt;세 개의 오렌지에 대한 사랑&gt;</t>
  </si>
  <si>
    <t>2025-06-26 ~ 2025-06-29</t>
  </si>
  <si>
    <t>1164</t>
  </si>
  <si>
    <t>제16회 대한민국오페라페스티벌 베세토오페라단 &lt;돈 조반니&gt;</t>
  </si>
  <si>
    <t>2025-07-04 ~ 2025-07-06</t>
  </si>
  <si>
    <t>1165</t>
  </si>
  <si>
    <t>제16회 대한민국오페라페스티벌 코리아아르츠그룹 &lt;도산&gt;</t>
  </si>
  <si>
    <t>2025-07-11 ~ 2025-07-13</t>
  </si>
  <si>
    <t>1166</t>
  </si>
  <si>
    <t>2025 예술의전당 &amp; 유니버설발레단 &lt;백조의 호수&gt;</t>
  </si>
  <si>
    <t>2025-07-19 ~ 2025-07-27</t>
  </si>
  <si>
    <t>1167</t>
  </si>
  <si>
    <t>파리 오페라 발레 에투알 갈라 2025</t>
  </si>
  <si>
    <t>2025-07-30 ~ 2025-08-01</t>
  </si>
  <si>
    <t>1168</t>
  </si>
  <si>
    <t>국립발레단_인어공주</t>
  </si>
  <si>
    <t>2025-08-13 ~ 2025-08-17</t>
  </si>
  <si>
    <t>1169</t>
  </si>
  <si>
    <t>2025 예술의전당 &lt;SAC 오페라 갈라&gt;</t>
  </si>
  <si>
    <t>2025-08-23 ~ 2025-08-24</t>
  </si>
  <si>
    <t>1170</t>
  </si>
  <si>
    <t>오페라 &lt;한여름 밤의 꿈&gt;</t>
  </si>
  <si>
    <t>2025-08-30 ~ 2025-08-31</t>
  </si>
  <si>
    <t>1171</t>
  </si>
  <si>
    <t>무용</t>
  </si>
  <si>
    <t>Salt Path</t>
  </si>
  <si>
    <t>1172</t>
  </si>
  <si>
    <t>오페라 라 보엠 : 2025 라벨라 그랜드 갈라</t>
  </si>
  <si>
    <t>1173</t>
  </si>
  <si>
    <t>국립오페라단 정기공연 한국현대오페라 &lt;화전가&gt;</t>
  </si>
  <si>
    <t>2025-10-25 ~ 2025-10-26</t>
  </si>
  <si>
    <t>1174</t>
  </si>
  <si>
    <t>솔오페라단 오페라 &lt;리골레토&gt;</t>
  </si>
  <si>
    <t>2025-10-31 ~ 2025-11-02</t>
  </si>
  <si>
    <t>1175</t>
  </si>
  <si>
    <t>국립발레단_지젤</t>
  </si>
  <si>
    <t>2025-11-12 ~ 2025-11-16</t>
  </si>
  <si>
    <t>1176</t>
  </si>
  <si>
    <t>국립오페라단 x 서울시립교향악단 오페라 &lt;트리스탄과 이졸데&gt;</t>
  </si>
  <si>
    <t>2025-12-04 ~ 2025-12-07</t>
  </si>
  <si>
    <t>1177</t>
  </si>
  <si>
    <t>2025 예술의전당 &amp; 국립발레단 &lt;호두까기인형&gt;</t>
  </si>
  <si>
    <t>2025-12-13 ~ 2025-12-25</t>
  </si>
  <si>
    <t>1178</t>
  </si>
  <si>
    <t>뮤지컬 &lt;시라노&gt;</t>
  </si>
  <si>
    <t>2024-12-06 ~ 2025-02-23</t>
  </si>
  <si>
    <t>CJ 토월극장</t>
  </si>
  <si>
    <t>1179</t>
  </si>
  <si>
    <t>앰비규어스댄스컴퍼니 &lt;바디콘서트&gt;</t>
  </si>
  <si>
    <t>2025-02-26 ~ 2025-03-09</t>
  </si>
  <si>
    <t>1180</t>
  </si>
  <si>
    <t>안중근, 천국에서의 춤</t>
  </si>
  <si>
    <t>2025-03-15 ~ 2025-03-16</t>
  </si>
  <si>
    <t>1181</t>
  </si>
  <si>
    <t>국립현대무용단 &lt;인잇: 보이지 않는 것&gt;</t>
  </si>
  <si>
    <t>2025-03-21 ~ 2025-03-23</t>
  </si>
  <si>
    <t>1182</t>
  </si>
  <si>
    <t>연극</t>
  </si>
  <si>
    <t>연극 &lt;시련&gt;</t>
  </si>
  <si>
    <t>2025-04-09 ~ 2025-04-27</t>
  </si>
  <si>
    <t>1183</t>
  </si>
  <si>
    <t>기타(복합)</t>
  </si>
  <si>
    <t>창작가무극 &lt;윤동주, 달을 쏘다&gt;</t>
  </si>
  <si>
    <t>2025-05-09 ~ 2025-05-18</t>
  </si>
  <si>
    <t>1184</t>
  </si>
  <si>
    <t>국립현대무용단 &lt;우리는 움직일 수밖에 없었다&gt;</t>
  </si>
  <si>
    <t>2025-05-23 ~ 2025-05-25</t>
  </si>
  <si>
    <t>1185</t>
  </si>
  <si>
    <t>[2025 발레축제] conneXion, 최태지 X 문훈숙</t>
  </si>
  <si>
    <t>1186</t>
  </si>
  <si>
    <t>[2025 발레축제] 코펠리아</t>
  </si>
  <si>
    <t>1187</t>
  </si>
  <si>
    <t>[2025 발레축제] Shining Wave</t>
  </si>
  <si>
    <t>1188</t>
  </si>
  <si>
    <t>[2025 발레축제] 라이프 오브 발레리노 - Dreamer</t>
  </si>
  <si>
    <t>2025-06-07 ~ 2025-06-08</t>
  </si>
  <si>
    <t>1189</t>
  </si>
  <si>
    <t>[2025 발레축제] 유니버설발레단 &lt;발레 춘향&gt;</t>
  </si>
  <si>
    <t>1190</t>
  </si>
  <si>
    <t>제16회 대한민국오페라페스티벌 노블아트오페라단 &lt;세비야의 이발사&gt;</t>
  </si>
  <si>
    <t>2025-06-20 ~ 2025-06-21</t>
  </si>
  <si>
    <t>1191</t>
  </si>
  <si>
    <t>셰익스피어 인 러브</t>
  </si>
  <si>
    <t>2025-07-05 ~ 2025-09-14</t>
  </si>
  <si>
    <t>1192</t>
  </si>
  <si>
    <t>전우치</t>
  </si>
  <si>
    <t>2025-10-25 ~ 2025-11-02</t>
  </si>
  <si>
    <t>1193</t>
  </si>
  <si>
    <t>2025 한일 수교 60주년 기념 연극 &lt;야끼니꾸 드래곤: 용길이네 곱창집&gt;</t>
  </si>
  <si>
    <t>2025-11-14 ~ 2025-11-23</t>
  </si>
  <si>
    <t>1194</t>
  </si>
  <si>
    <t>뮤지컬 &lt;팬레터&gt; 10주년 기념 공연</t>
  </si>
  <si>
    <t>2025-12-05 ~ 2026-02-22</t>
  </si>
  <si>
    <t>1195</t>
  </si>
  <si>
    <t>대학살의 신</t>
  </si>
  <si>
    <t>2024-12-03 ~ 2025-01-05</t>
  </si>
  <si>
    <t>자유소극장</t>
  </si>
  <si>
    <t>1196</t>
  </si>
  <si>
    <t>바닷마을 다이어리</t>
  </si>
  <si>
    <t>2025-01-15 ~ 2025-03-23</t>
  </si>
  <si>
    <t>1197</t>
  </si>
  <si>
    <t>연극 &lt;랑데부&gt;</t>
  </si>
  <si>
    <t>2025-04-05 ~ 2025-05-11</t>
  </si>
  <si>
    <t>1198</t>
  </si>
  <si>
    <t>ISEA2025 동동: Creators’ Universe</t>
  </si>
  <si>
    <t>2025-05-23 ~ 2025-05-29</t>
  </si>
  <si>
    <t>1199</t>
  </si>
  <si>
    <t>국립현대무용단 &lt;솔로 프로젝트&gt;</t>
  </si>
  <si>
    <t>1200</t>
  </si>
  <si>
    <t>[2025 발레축제] 미로美路 2.0 / 고도를 기다리며</t>
  </si>
  <si>
    <t>2025-06-12 ~ 2025-06-13</t>
  </si>
  <si>
    <t>1201</t>
  </si>
  <si>
    <t>[2025 발레축제] 123.45MHz / The Room</t>
  </si>
  <si>
    <t>2025-06-17 ~ 2025-06-18</t>
  </si>
  <si>
    <t>1202</t>
  </si>
  <si>
    <t>[2025 발레축제] 대지 / 야생의 심장</t>
  </si>
  <si>
    <t>2025-06-21 ~ 2025-06-22</t>
  </si>
  <si>
    <t>1203</t>
  </si>
  <si>
    <t>제16회 대한민국오페라페스티벌 더뮤즈오페라단 &lt;마일즈와 삼총사&gt;</t>
  </si>
  <si>
    <t>2025-06-28 ~ 2025-06-29</t>
  </si>
  <si>
    <t>1204</t>
  </si>
  <si>
    <t>제16회 대한민국오페라페스티벌 오페라팩토리 &lt;빨간모자와 늑대&gt;</t>
  </si>
  <si>
    <t>2025-07-05 ~ 2025-07-06</t>
  </si>
  <si>
    <t>1205</t>
  </si>
  <si>
    <t>가극 &lt;부부 이야기&gt;</t>
  </si>
  <si>
    <t>1206</t>
  </si>
  <si>
    <t>아동극</t>
  </si>
  <si>
    <t>어린이무용 &lt;얍! 얍! 얍!&gt; 2025 어린이 가족 페스티벌</t>
  </si>
  <si>
    <t>2025-07-18 ~ 2025-07-27</t>
  </si>
  <si>
    <t>1207</t>
  </si>
  <si>
    <t>뮤지컬 &lt;달샤베트&gt; 2025 어린이 가족 페스티벌</t>
  </si>
  <si>
    <t>2025-08-01 ~ 2025-08-23</t>
  </si>
  <si>
    <t>1208</t>
  </si>
  <si>
    <t>국립발레단_ History of KNB Movement Series 3</t>
  </si>
  <si>
    <t>2025-08-29 ~ 2025-08-31</t>
  </si>
  <si>
    <t>1209</t>
  </si>
  <si>
    <t>귀문</t>
  </si>
  <si>
    <t>2025-09-12 ~ 2025-09-14</t>
  </si>
  <si>
    <t>1210</t>
  </si>
  <si>
    <t>[2025 리:바운드 축제] 금다래꿍</t>
  </si>
  <si>
    <t>2025-10-18 ~ 2025-10-19</t>
  </si>
  <si>
    <t>1211</t>
  </si>
  <si>
    <t>[2025 리:바운드 축제] 비욘드 아리랑</t>
  </si>
  <si>
    <t>2025-10-22 ~ 2025-10-23</t>
  </si>
  <si>
    <t>1212</t>
  </si>
  <si>
    <t>[2025 리:바운드 축제] 나도, 밤나무!</t>
  </si>
  <si>
    <t>1213</t>
  </si>
  <si>
    <t>[2025 리:바운드 축제] 보이첵</t>
  </si>
  <si>
    <t>1214</t>
  </si>
  <si>
    <t>[2025 리:바운드 축제] 날 좀 보소</t>
  </si>
  <si>
    <t>1215</t>
  </si>
  <si>
    <t>[2025 리:바운드 축제] 혹부리 영감이 되고 싶은 도깨비</t>
  </si>
  <si>
    <t>2025-11-07 ~ 2025-11-08</t>
  </si>
  <si>
    <t>1216</t>
  </si>
  <si>
    <t>[2025 리:바운드 축제] 망고나무만세 &amp; 고등학생일상</t>
  </si>
  <si>
    <t>2025-11-15 ~ 2025-11-16</t>
  </si>
  <si>
    <t>1217</t>
  </si>
  <si>
    <t>국립현대무용단 &lt;코레오 커넥션: 서울&gt;</t>
  </si>
  <si>
    <t>2025-11-21 ~ 2025-11-23</t>
  </si>
  <si>
    <t>1218</t>
  </si>
  <si>
    <t>청년교육단원 갈라콘서트</t>
  </si>
  <si>
    <t>1219</t>
  </si>
  <si>
    <t>Musicscape - 그림자의 경계에서…</t>
  </si>
  <si>
    <t>2025-11-29 ~ 2025-11-30</t>
  </si>
  <si>
    <t>1220</t>
  </si>
  <si>
    <t>연극 &lt;터키 블루스&gt;</t>
  </si>
  <si>
    <t>2025-12-06 ~ 2026-02-01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</si>
  <si>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</si>
  <si>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</si>
  <si>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</si>
  <si>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</si>
  <si>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</si>
  <si>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</si>
  <si>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</si>
  <si>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</si>
  <si>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</si>
  <si>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</si>
  <si>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</si>
  <si>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</si>
  <si>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</si>
  <si>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</si>
  <si>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10월/11월일정</t>
  </si>
  <si>
    <t>공연/전시구분</t>
  </si>
  <si>
    <t>장르</t>
  </si>
  <si>
    <t>공연/전시명</t>
  </si>
  <si>
    <t>일시</t>
  </si>
  <si>
    <t>장소</t>
  </si>
  <si>
    <t>인원편성</t>
  </si>
  <si>
    <t>엔니오 모리꼬네 영화음악 콘서트 2025</t>
  </si>
  <si>
    <t>존 말코비치의 The Music Critic</t>
  </si>
  <si>
    <t>홍콩필하모닉오케스트라</t>
  </si>
  <si>
    <t>런던 필하모닉</t>
  </si>
  <si>
    <t>구스타보 두다멜 &amp; LA 필하모닉 오케스트라 II</t>
  </si>
  <si>
    <t>구스타보 두다멜 &amp; LA 필하모닉 오케스트라 I</t>
  </si>
  <si>
    <t>체코 필하모닉</t>
  </si>
  <si>
    <t>2025 국립합창단 &lt;국제음악축제Ⅱ&gt;</t>
  </si>
  <si>
    <t>코펙스 챔버오케스트라 제 5회 정기연주회</t>
  </si>
  <si>
    <t>송은주 with 서울비르투오지 챔버오케스트라 리사이틀</t>
  </si>
  <si>
    <t>슈만 탄생 215주년 기념 연가곡 시리즈 2 with 권은주, 윤종민</t>
  </si>
  <si>
    <t>코리안챔버오케스트라 컨트라스트 시리즈 1</t>
  </si>
  <si>
    <t>야나첵 스트링 콰르텟 내한공연</t>
  </si>
  <si>
    <t>메조소프라노 정삼미 독창회</t>
  </si>
  <si>
    <t>이사오 사사키 Autumn Leaves</t>
  </si>
  <si>
    <t>국립챔버오케스트라 기획연주회</t>
  </si>
  <si>
    <t>현대음악앙상블 ‘소리’의 동방신곡(東方新曲) 프로젝트</t>
  </si>
  <si>
    <t>2025 서울국제음악제 실내악 시리즈 2</t>
  </si>
  <si>
    <t>김수연 김정림 두오연주회 -그리그 바이올린과 피아노를 위한 소나타 전곡연주회</t>
  </si>
  <si>
    <t>미래악회 제49회 작품발표회</t>
  </si>
  <si>
    <t>21세기악회 2025 창작음악제</t>
  </si>
  <si>
    <t>범음악제 52주년 콘서트</t>
  </si>
  <si>
    <t>피아니스트 김현정의 어울림 4</t>
  </si>
  <si>
    <t>이루이사 바흐 건반음악전곡시리즈 II</t>
  </si>
  <si>
    <t>김송은 귀국 첼로 독주회</t>
  </si>
  <si>
    <t>화전가</t>
  </si>
  <si>
    <t>뎐우치</t>
  </si>
  <si>
    <t>2025-10-24 ~ 2025-11-02</t>
  </si>
  <si>
    <t>기타(국가행사)</t>
  </si>
  <si>
    <t>경축식</t>
  </si>
  <si>
    <t>2025 개천절 기념행사</t>
  </si>
  <si>
    <t>세종문화회관</t>
  </si>
  <si>
    <t>광복절전야죄/광복절</t>
  </si>
  <si>
    <t>2025-08.14~2025.08.15</t>
  </si>
  <si>
    <t>문화/ 세종문화회관</t>
  </si>
  <si>
    <t>2025 한글날 기념행사</t>
  </si>
  <si>
    <t>2025-10-09</t>
  </si>
  <si>
    <t>2025apec 경주</t>
  </si>
  <si>
    <t>2025apec</t>
  </si>
  <si>
    <t>2025-10-24 ~ 2025-11-04</t>
  </si>
  <si>
    <t>경주</t>
  </si>
  <si>
    <t>2025년 무대음향 인원편성표</t>
  </si>
  <si>
    <t>1팀</t>
  </si>
  <si>
    <t>2팀</t>
  </si>
  <si>
    <t>3팀</t>
  </si>
  <si>
    <t>4팀</t>
  </si>
  <si>
    <t>6팀</t>
  </si>
  <si>
    <t>7팀</t>
  </si>
  <si>
    <t>준비1팀</t>
  </si>
  <si>
    <t>준비2팀</t>
  </si>
  <si>
    <t>준비3팀</t>
  </si>
  <si>
    <t>준비4팀</t>
  </si>
  <si>
    <t>신입관리</t>
  </si>
  <si>
    <t>파트장</t>
  </si>
  <si>
    <t>김예은</t>
  </si>
  <si>
    <t>김민주</t>
  </si>
  <si>
    <t>박지민</t>
  </si>
  <si>
    <t>김지민</t>
  </si>
  <si>
    <t>강진</t>
  </si>
  <si>
    <t>박혜주</t>
  </si>
  <si>
    <t>서원정</t>
  </si>
  <si>
    <t>서장관리</t>
  </si>
  <si>
    <t>팀장</t>
  </si>
  <si>
    <t>성연주</t>
  </si>
  <si>
    <t>이나라</t>
  </si>
  <si>
    <t>오샛별</t>
  </si>
  <si>
    <t>이미주</t>
  </si>
  <si>
    <t>박혜민</t>
  </si>
  <si>
    <t>김주안</t>
  </si>
  <si>
    <t>김민국</t>
  </si>
  <si>
    <t>정유나</t>
  </si>
  <si>
    <t>백시은</t>
  </si>
  <si>
    <t>임시배치팀원</t>
  </si>
  <si>
    <t>2025정식인원</t>
  </si>
  <si>
    <t>2026정식인원</t>
  </si>
  <si>
    <t>2027정식인원</t>
  </si>
  <si>
    <t>2028정식인원</t>
  </si>
  <si>
    <t>2029정식인원</t>
  </si>
  <si>
    <t>2030정식인원</t>
  </si>
  <si>
    <t>2025인원편성표</t>
  </si>
  <si>
    <t>서연 성</t>
  </si>
  <si>
    <t>이서 신</t>
  </si>
  <si>
    <t>유주 차</t>
  </si>
  <si>
    <t>태리 석</t>
  </si>
  <si>
    <t>준비1</t>
  </si>
  <si>
    <t>비고</t>
  </si>
  <si>
    <t>소윤 석</t>
  </si>
  <si>
    <t>예은 임</t>
  </si>
  <si>
    <t>유주 박</t>
  </si>
  <si>
    <t>소윤 표</t>
  </si>
  <si>
    <t>예나 류</t>
  </si>
  <si>
    <t>서아 신</t>
  </si>
  <si>
    <t>하은 명</t>
  </si>
  <si>
    <t>이서 문</t>
  </si>
  <si>
    <t>팀원</t>
  </si>
  <si>
    <t>예진 강</t>
  </si>
  <si>
    <t>서현 한</t>
  </si>
  <si>
    <t>현서 이</t>
  </si>
  <si>
    <t>시아 홍</t>
  </si>
  <si>
    <t>서영 강</t>
  </si>
  <si>
    <t>서아 남</t>
  </si>
  <si>
    <t>소율 성</t>
  </si>
  <si>
    <t>리아 강</t>
  </si>
  <si>
    <t>민서 임</t>
  </si>
  <si>
    <t>지아 권</t>
  </si>
  <si>
    <t>수아 황</t>
  </si>
  <si>
    <t>은서 서</t>
  </si>
  <si>
    <t>지안 윤</t>
  </si>
  <si>
    <t>예은 조</t>
  </si>
  <si>
    <t>예린 태</t>
  </si>
  <si>
    <t>유주 민</t>
  </si>
  <si>
    <t>하린 동</t>
  </si>
  <si>
    <t>민서 성</t>
  </si>
  <si>
    <t>지원 허</t>
  </si>
  <si>
    <t>하윤 황</t>
  </si>
  <si>
    <t>하린 오</t>
  </si>
  <si>
    <t>지윤 류</t>
  </si>
  <si>
    <t>윤아 송</t>
  </si>
  <si>
    <t>서현 황</t>
  </si>
  <si>
    <t>서영 주</t>
  </si>
  <si>
    <t>지민 조</t>
  </si>
  <si>
    <t>은서 곽</t>
  </si>
  <si>
    <t>주아 지</t>
  </si>
  <si>
    <t>예나 지</t>
  </si>
  <si>
    <t>채원 민</t>
  </si>
  <si>
    <t>하윤 허</t>
  </si>
  <si>
    <t>소율 홍</t>
  </si>
  <si>
    <t>지아 이</t>
  </si>
  <si>
    <t>리아 복</t>
  </si>
  <si>
    <t>채원 장</t>
  </si>
  <si>
    <t>연우 전</t>
  </si>
  <si>
    <t>리아 조</t>
  </si>
  <si>
    <t>예은 동</t>
  </si>
  <si>
    <t>지윤 강</t>
  </si>
  <si>
    <t>다은 민</t>
  </si>
  <si>
    <t>소윤 김</t>
  </si>
  <si>
    <t>서영 조</t>
  </si>
  <si>
    <t>소율 조</t>
  </si>
  <si>
    <t>리아 한</t>
  </si>
  <si>
    <t>태리 태</t>
  </si>
  <si>
    <t>나은 노</t>
  </si>
  <si>
    <t>소율 손</t>
  </si>
  <si>
    <t>수연 심</t>
  </si>
  <si>
    <t>예진 남</t>
  </si>
  <si>
    <t>하린 고</t>
  </si>
  <si>
    <t>하린 윤</t>
  </si>
  <si>
    <t>유나 손</t>
  </si>
  <si>
    <t>채은 윤</t>
  </si>
  <si>
    <t>아인 고</t>
  </si>
  <si>
    <t>지아 태</t>
  </si>
  <si>
    <t>예진 하</t>
  </si>
  <si>
    <t>예진 태</t>
  </si>
  <si>
    <t>리아 윤</t>
  </si>
  <si>
    <t>민지 손</t>
  </si>
  <si>
    <t>채원 나</t>
  </si>
  <si>
    <t>다은 우</t>
  </si>
  <si>
    <t>시아 박</t>
  </si>
  <si>
    <t>서연 동</t>
  </si>
  <si>
    <t>아윤 신</t>
  </si>
  <si>
    <t>예나 복</t>
  </si>
  <si>
    <t>수연 전</t>
  </si>
  <si>
    <t>채원 손</t>
  </si>
  <si>
    <t>수빈 노</t>
  </si>
  <si>
    <t>서영 최</t>
  </si>
  <si>
    <t>서현 나</t>
  </si>
  <si>
    <t>민지 류</t>
  </si>
  <si>
    <t>서윤 윤</t>
  </si>
  <si>
    <t>아린 서</t>
  </si>
  <si>
    <t>유진 백</t>
  </si>
  <si>
    <t>수빈 한</t>
  </si>
  <si>
    <t>시아 조</t>
  </si>
  <si>
    <t>하윤 백</t>
  </si>
  <si>
    <t>서연 강</t>
  </si>
  <si>
    <t>지우 최</t>
  </si>
  <si>
    <t>지윤 오</t>
  </si>
  <si>
    <t>수민 강</t>
  </si>
  <si>
    <t>연우 장</t>
  </si>
  <si>
    <t>채원 심</t>
  </si>
  <si>
    <t>연우 정</t>
  </si>
  <si>
    <t>채은 유</t>
  </si>
  <si>
    <t>지윤 남</t>
  </si>
  <si>
    <t>시아 고</t>
  </si>
  <si>
    <t>수연 구</t>
  </si>
  <si>
    <t>주아 석</t>
  </si>
  <si>
    <t>하은 강</t>
  </si>
  <si>
    <t>하린 우</t>
  </si>
  <si>
    <t>재이 정</t>
  </si>
  <si>
    <t>지아 오</t>
  </si>
  <si>
    <t>현서 양</t>
  </si>
  <si>
    <t>나은 구</t>
  </si>
  <si>
    <t>하린 석</t>
  </si>
  <si>
    <t>예진 최</t>
  </si>
  <si>
    <t>수아 동</t>
  </si>
  <si>
    <t>지윤 양</t>
  </si>
  <si>
    <t>다은 주</t>
  </si>
  <si>
    <t>현서 안</t>
  </si>
  <si>
    <t>아인 강</t>
  </si>
  <si>
    <t>은서 차</t>
  </si>
  <si>
    <t>윤아 나</t>
  </si>
  <si>
    <t>로아 명</t>
  </si>
  <si>
    <t>민서 안</t>
  </si>
  <si>
    <t>시은 민</t>
  </si>
  <si>
    <t>윤서 강</t>
  </si>
  <si>
    <t>서윤 진</t>
  </si>
  <si>
    <t>현서 손</t>
  </si>
  <si>
    <t>다은 나</t>
  </si>
  <si>
    <t>지민 노</t>
  </si>
  <si>
    <t>시아 안</t>
  </si>
  <si>
    <t>하은 윤</t>
  </si>
  <si>
    <t>윤서 우</t>
  </si>
  <si>
    <t>하린 조</t>
  </si>
  <si>
    <t>예은 안</t>
  </si>
  <si>
    <t>리아 구</t>
  </si>
  <si>
    <t>예진 손</t>
  </si>
  <si>
    <t>연우 복</t>
  </si>
  <si>
    <t>지원 성</t>
  </si>
  <si>
    <t>지윤 신</t>
  </si>
  <si>
    <t>아인 서</t>
  </si>
  <si>
    <t>소윤 홍</t>
  </si>
  <si>
    <t>수민 조</t>
  </si>
  <si>
    <t>지원 구</t>
  </si>
  <si>
    <t>수민 정</t>
  </si>
  <si>
    <t>하은 양</t>
  </si>
  <si>
    <t>윤서 복</t>
  </si>
  <si>
    <t>지민 서</t>
  </si>
  <si>
    <t>민지 권</t>
  </si>
  <si>
    <t>민서 전</t>
  </si>
  <si>
    <t>수연 표</t>
  </si>
  <si>
    <t>로아 오</t>
  </si>
  <si>
    <t>태리 구</t>
  </si>
  <si>
    <t>은서 주</t>
  </si>
  <si>
    <t>리아 정</t>
  </si>
  <si>
    <t>시아 류</t>
  </si>
  <si>
    <t>시은 곽</t>
  </si>
  <si>
    <t>주아 차</t>
  </si>
  <si>
    <t>나은 심</t>
  </si>
  <si>
    <t>수민 허</t>
  </si>
  <si>
    <t>지아 심</t>
  </si>
  <si>
    <t>로아 성</t>
  </si>
  <si>
    <t>시아 문</t>
  </si>
  <si>
    <t>소윤 구</t>
  </si>
  <si>
    <t>예은 우</t>
  </si>
  <si>
    <t>하윤 우</t>
  </si>
  <si>
    <t>민지 마</t>
  </si>
  <si>
    <t>소윤 송</t>
  </si>
  <si>
    <t>서윤 신</t>
  </si>
  <si>
    <t>윤아 한</t>
  </si>
  <si>
    <t>서영 안</t>
  </si>
  <si>
    <t>수민 구</t>
  </si>
  <si>
    <t>아윤 안</t>
  </si>
  <si>
    <t>주아 민</t>
  </si>
  <si>
    <t>나은 황</t>
  </si>
  <si>
    <t>다은 남</t>
  </si>
  <si>
    <t>하은 김</t>
  </si>
  <si>
    <t>수아 심</t>
  </si>
  <si>
    <t>소윤 최</t>
  </si>
  <si>
    <t>지민 곽</t>
  </si>
  <si>
    <t>아린 지</t>
  </si>
  <si>
    <t>수빈 박</t>
  </si>
  <si>
    <t>다은 심</t>
  </si>
  <si>
    <t>민서 류</t>
  </si>
  <si>
    <t>예은 문</t>
  </si>
  <si>
    <t>아윤 하</t>
  </si>
  <si>
    <t>유진 오</t>
  </si>
  <si>
    <t>수빈 장</t>
  </si>
  <si>
    <t>예나 명</t>
  </si>
  <si>
    <t>서아 표</t>
  </si>
  <si>
    <t>아인 복</t>
  </si>
  <si>
    <t>예나 황</t>
  </si>
  <si>
    <t>서연 민</t>
  </si>
  <si>
    <t>지우 송</t>
  </si>
  <si>
    <t>하은 복</t>
  </si>
  <si>
    <t>수아 문</t>
  </si>
  <si>
    <t>민서 백</t>
  </si>
  <si>
    <t>하은 문</t>
  </si>
  <si>
    <t>아린 명</t>
  </si>
  <si>
    <t>지유 손</t>
  </si>
  <si>
    <t>연우 양</t>
  </si>
  <si>
    <t>로아 표</t>
  </si>
  <si>
    <t>유나 허</t>
  </si>
  <si>
    <t>수빈 강</t>
  </si>
  <si>
    <t>수민 장</t>
  </si>
  <si>
    <t>유주 마</t>
  </si>
  <si>
    <t>다은 한</t>
  </si>
  <si>
    <t>지원 최</t>
  </si>
  <si>
    <t>아린 태</t>
  </si>
  <si>
    <t>유주 김</t>
  </si>
  <si>
    <t>예린 황</t>
  </si>
  <si>
    <t>태리 김</t>
  </si>
  <si>
    <t>현서 권</t>
  </si>
  <si>
    <t>지윤 주</t>
  </si>
  <si>
    <t>하은 나</t>
  </si>
  <si>
    <t>소율 민</t>
  </si>
  <si>
    <t>다은 이</t>
  </si>
  <si>
    <t>수민 차</t>
  </si>
  <si>
    <t>수연 권</t>
  </si>
  <si>
    <t>연우 허</t>
  </si>
  <si>
    <t>하윤 권</t>
  </si>
  <si>
    <t>지아 석</t>
  </si>
  <si>
    <t>하은 오</t>
  </si>
  <si>
    <t>서현 태</t>
  </si>
  <si>
    <t>하린 배</t>
  </si>
  <si>
    <t>채원 지</t>
  </si>
  <si>
    <t>지민 오</t>
  </si>
  <si>
    <t>지안 배</t>
  </si>
  <si>
    <t>서영 류</t>
  </si>
  <si>
    <t>예린 유</t>
  </si>
  <si>
    <t>소윤 허</t>
  </si>
  <si>
    <t>서영 서</t>
  </si>
  <si>
    <t>재이 박</t>
  </si>
  <si>
    <t>채원 정</t>
  </si>
  <si>
    <t>민지 하</t>
  </si>
  <si>
    <t>태리 표</t>
  </si>
  <si>
    <t>윤서 배</t>
  </si>
  <si>
    <t>나은 강</t>
  </si>
  <si>
    <t>민지 서</t>
  </si>
  <si>
    <t>수아 차</t>
  </si>
  <si>
    <t>연우 백</t>
  </si>
  <si>
    <t>주아 권</t>
  </si>
  <si>
    <t>지민 마</t>
  </si>
  <si>
    <t>서윤 정</t>
  </si>
  <si>
    <t>예진 차</t>
  </si>
  <si>
    <t>지원 강</t>
  </si>
  <si>
    <t>서윤 김</t>
  </si>
  <si>
    <t>소윤 전</t>
  </si>
  <si>
    <t>은서 이</t>
  </si>
  <si>
    <t>서영 진</t>
  </si>
  <si>
    <t>하윤 주</t>
  </si>
  <si>
    <t>채원 차</t>
  </si>
  <si>
    <t>수빈 손</t>
  </si>
  <si>
    <t>하은 곽</t>
  </si>
  <si>
    <t>서윤 서</t>
  </si>
  <si>
    <t>유나 석</t>
  </si>
  <si>
    <t>소율 서</t>
  </si>
  <si>
    <t>윤서 서</t>
  </si>
  <si>
    <t>지우 이</t>
  </si>
  <si>
    <t>채은 성</t>
  </si>
  <si>
    <t>수빈 진</t>
  </si>
  <si>
    <t>시은 강</t>
  </si>
  <si>
    <t>아인 석</t>
  </si>
  <si>
    <t>지아 구</t>
  </si>
  <si>
    <t>연우 차</t>
  </si>
  <si>
    <t>지아 허</t>
  </si>
  <si>
    <t>태리 주</t>
  </si>
  <si>
    <t>로아 권</t>
  </si>
  <si>
    <t>주아 한</t>
  </si>
  <si>
    <t>태리 임</t>
  </si>
  <si>
    <t>서윤 복</t>
  </si>
  <si>
    <t>윤서 민</t>
  </si>
  <si>
    <t>민지 표</t>
  </si>
  <si>
    <t>지윤 최</t>
  </si>
  <si>
    <t>서아 이</t>
  </si>
  <si>
    <t>예진 유</t>
  </si>
  <si>
    <t>현서 윤</t>
  </si>
  <si>
    <t>채원 양</t>
  </si>
  <si>
    <t>리아 송</t>
  </si>
  <si>
    <t>서연 고</t>
  </si>
  <si>
    <t>유주 전</t>
  </si>
  <si>
    <t>윤서 노</t>
  </si>
  <si>
    <t>유진 김</t>
  </si>
  <si>
    <t>예진 양</t>
  </si>
  <si>
    <t>아윤 박</t>
  </si>
  <si>
    <t>서영 김</t>
  </si>
  <si>
    <t>수아 신</t>
  </si>
  <si>
    <t>서아 석</t>
  </si>
  <si>
    <t>서아 유</t>
  </si>
  <si>
    <t>윤서 송</t>
  </si>
  <si>
    <t>지아 표</t>
  </si>
  <si>
    <t>로아 노</t>
  </si>
  <si>
    <t>지안 박</t>
  </si>
  <si>
    <t>하윤 박</t>
  </si>
  <si>
    <t>윤서 하</t>
  </si>
  <si>
    <t>서연 안</t>
  </si>
  <si>
    <t>수아 오</t>
  </si>
  <si>
    <t>유나 서</t>
  </si>
  <si>
    <t>아인 주</t>
  </si>
  <si>
    <t>유주 성</t>
  </si>
  <si>
    <t>소윤 고</t>
  </si>
  <si>
    <t>서윤 나</t>
  </si>
  <si>
    <t>재이 표</t>
  </si>
  <si>
    <t>다은 지</t>
  </si>
  <si>
    <t>예진 복</t>
  </si>
  <si>
    <t>지원 배</t>
  </si>
  <si>
    <t>은서 고</t>
  </si>
  <si>
    <t>지원 나</t>
  </si>
  <si>
    <t>다은 마</t>
  </si>
  <si>
    <t>예진 석</t>
  </si>
  <si>
    <t>지우 류</t>
  </si>
  <si>
    <t>지안 허</t>
  </si>
  <si>
    <t>지윤 진</t>
  </si>
  <si>
    <t>하린 성</t>
  </si>
  <si>
    <t>지아 류</t>
  </si>
  <si>
    <t>리아 동</t>
  </si>
  <si>
    <t>시아 곽</t>
  </si>
  <si>
    <t>지윤 서</t>
  </si>
  <si>
    <t>태리 서</t>
  </si>
  <si>
    <t>서연 노</t>
  </si>
  <si>
    <t>서연 태</t>
  </si>
  <si>
    <t>유나 한</t>
  </si>
  <si>
    <t>예진 백</t>
  </si>
  <si>
    <t>현서 유</t>
  </si>
  <si>
    <t>다은 명</t>
  </si>
  <si>
    <t>하윤 강</t>
  </si>
  <si>
    <t>로아 곽</t>
  </si>
  <si>
    <t>아린 이</t>
  </si>
  <si>
    <t>하린 신</t>
  </si>
  <si>
    <t>이서 동</t>
  </si>
  <si>
    <t>시은 구</t>
  </si>
  <si>
    <t>서연 유</t>
  </si>
  <si>
    <t>아린 손</t>
  </si>
  <si>
    <t>지원 황</t>
  </si>
  <si>
    <t>수아 고</t>
  </si>
  <si>
    <t>현서 복</t>
  </si>
  <si>
    <t>아린 동</t>
  </si>
  <si>
    <t>이서 이</t>
  </si>
  <si>
    <t>지민 명</t>
  </si>
  <si>
    <t>수빈 임</t>
  </si>
  <si>
    <t>서윤 백</t>
  </si>
  <si>
    <t>수아 정</t>
  </si>
  <si>
    <t>하윤 마</t>
  </si>
  <si>
    <t>민지 정</t>
  </si>
  <si>
    <t>하윤 복</t>
  </si>
  <si>
    <t>지민 문</t>
  </si>
  <si>
    <t>예나 진</t>
  </si>
  <si>
    <t>예은 나</t>
  </si>
  <si>
    <t>연우 배</t>
  </si>
  <si>
    <t>채원 하</t>
  </si>
  <si>
    <t>주아 최</t>
  </si>
  <si>
    <t>소율 우</t>
  </si>
  <si>
    <t>소윤 복</t>
  </si>
  <si>
    <t>채은 권</t>
  </si>
  <si>
    <t>서영 하</t>
  </si>
  <si>
    <t>서장</t>
  </si>
  <si>
    <t>인사팀장</t>
  </si>
  <si>
    <t>센터장</t>
  </si>
  <si>
    <t>*자필 싸인후
스캔하여 제출*
*필수*</t>
  </si>
  <si>
    <t>최종서장싸인</t>
  </si>
  <si>
    <t>로아 동</t>
  </si>
  <si>
    <t>지우 표</t>
  </si>
  <si>
    <t>박재혁</t>
  </si>
  <si>
    <t>이현직</t>
  </si>
  <si>
    <t>생략</t>
  </si>
  <si>
    <t>이재민</t>
  </si>
  <si>
    <t>예진 이</t>
  </si>
  <si>
    <t>소율 강</t>
  </si>
  <si>
    <t>수빈 표</t>
  </si>
  <si>
    <t>현서 지</t>
  </si>
  <si>
    <t>지윤 복</t>
  </si>
  <si>
    <t>하은 홍</t>
  </si>
  <si>
    <t>윤서 김</t>
  </si>
  <si>
    <t>이서 박</t>
  </si>
  <si>
    <t>다은 임</t>
  </si>
  <si>
    <t>지원 표</t>
  </si>
  <si>
    <t>은서 홍</t>
  </si>
  <si>
    <t>서아 서</t>
  </si>
  <si>
    <t>시은 김</t>
  </si>
  <si>
    <t>아린 노</t>
  </si>
  <si>
    <t>예은 성</t>
  </si>
  <si>
    <t>예린 배</t>
  </si>
  <si>
    <t>지아 김</t>
  </si>
  <si>
    <t>수아 주</t>
  </si>
  <si>
    <t>재이 허</t>
  </si>
  <si>
    <t>수민 우</t>
  </si>
  <si>
    <t>서윤 최</t>
  </si>
  <si>
    <t>시은 태</t>
  </si>
  <si>
    <t>서아 하</t>
  </si>
  <si>
    <t>예진 장</t>
  </si>
  <si>
    <t>지원 윤</t>
  </si>
  <si>
    <t>유주 고</t>
  </si>
  <si>
    <t>지안 유</t>
  </si>
  <si>
    <t>로아 하</t>
  </si>
  <si>
    <t>유주 주</t>
  </si>
  <si>
    <t>지민 송</t>
  </si>
  <si>
    <t>예진 지</t>
  </si>
  <si>
    <t>윤아 윤</t>
  </si>
  <si>
    <t>지아 노</t>
  </si>
  <si>
    <t>현서 백</t>
  </si>
  <si>
    <t>하린 태</t>
  </si>
  <si>
    <t>은서 나</t>
  </si>
  <si>
    <t>지안 문</t>
  </si>
  <si>
    <t>주아 박</t>
  </si>
  <si>
    <t>유진 유</t>
  </si>
  <si>
    <t>서윤 장</t>
  </si>
  <si>
    <t>유나 송</t>
  </si>
  <si>
    <t>유진 신</t>
  </si>
  <si>
    <t>지아 송</t>
  </si>
  <si>
    <t>유주 문</t>
  </si>
  <si>
    <t>수아 배</t>
  </si>
  <si>
    <t>아인 류</t>
  </si>
  <si>
    <t>지우 심</t>
  </si>
  <si>
    <t>서현 임</t>
  </si>
  <si>
    <t>나은 임</t>
  </si>
  <si>
    <t>이서 고</t>
  </si>
  <si>
    <t>태리 민</t>
  </si>
  <si>
    <t>로아 남</t>
  </si>
  <si>
    <t>예린 허</t>
  </si>
  <si>
    <t>지유 성</t>
  </si>
  <si>
    <t>서연 차</t>
  </si>
  <si>
    <t>채은 양</t>
  </si>
  <si>
    <t>아린 전</t>
  </si>
  <si>
    <t>민서 황</t>
  </si>
  <si>
    <t>이서 전</t>
  </si>
  <si>
    <t>연우 마</t>
  </si>
  <si>
    <t>서현 명</t>
  </si>
  <si>
    <t>유진 석</t>
  </si>
  <si>
    <t>리아 하</t>
  </si>
  <si>
    <t>이서 우</t>
  </si>
  <si>
    <t>하윤 양</t>
  </si>
  <si>
    <t>채원 배</t>
  </si>
  <si>
    <t>하윤 신</t>
  </si>
  <si>
    <t>채은 석</t>
  </si>
  <si>
    <t>유나 권</t>
  </si>
  <si>
    <t>유진 이</t>
  </si>
  <si>
    <t>태리 유</t>
  </si>
  <si>
    <t>하윤 장</t>
  </si>
  <si>
    <t>예나 오</t>
  </si>
  <si>
    <t>재이 우</t>
  </si>
  <si>
    <t>시아 백</t>
  </si>
  <si>
    <t>리아 남</t>
  </si>
  <si>
    <t>소윤 마</t>
  </si>
  <si>
    <t>연우 곽</t>
  </si>
  <si>
    <t>민서 조</t>
  </si>
  <si>
    <t>지윤 차</t>
  </si>
  <si>
    <t>채원 황</t>
  </si>
  <si>
    <t>예린 복</t>
  </si>
  <si>
    <t>이서 손</t>
  </si>
  <si>
    <t>시은 고</t>
  </si>
  <si>
    <t>민서 장</t>
  </si>
  <si>
    <t>로아 복</t>
  </si>
  <si>
    <t>서윤 안</t>
  </si>
  <si>
    <t>시아 나</t>
  </si>
  <si>
    <t>시아 오</t>
  </si>
  <si>
    <t>지유 허</t>
  </si>
  <si>
    <t>예나 임</t>
  </si>
  <si>
    <t>리아 허</t>
  </si>
  <si>
    <t>유진 권</t>
  </si>
  <si>
    <t>수빈 심</t>
  </si>
  <si>
    <t>수아 구</t>
  </si>
  <si>
    <t>서윤 구</t>
  </si>
  <si>
    <t>서영 장</t>
  </si>
  <si>
    <t>리아 민</t>
  </si>
  <si>
    <t>서현 문</t>
  </si>
  <si>
    <t>지안 정</t>
  </si>
  <si>
    <t>채원 주</t>
  </si>
  <si>
    <t>하린 유</t>
  </si>
  <si>
    <t>지윤 명</t>
  </si>
  <si>
    <t>서윤 주</t>
  </si>
  <si>
    <t>서영 손</t>
  </si>
  <si>
    <t>서아 지</t>
  </si>
  <si>
    <t>유진 민</t>
  </si>
  <si>
    <t>주아 동</t>
  </si>
  <si>
    <t>유진 곽</t>
  </si>
  <si>
    <t>수연 윤</t>
  </si>
  <si>
    <t>지유 신</t>
  </si>
  <si>
    <t>유나 오</t>
  </si>
  <si>
    <t>아린 유</t>
  </si>
  <si>
    <t>서윤 박</t>
  </si>
  <si>
    <t>지유 황</t>
  </si>
  <si>
    <t>서현 표</t>
  </si>
  <si>
    <t>주아 나</t>
  </si>
  <si>
    <t>현서 주</t>
  </si>
  <si>
    <t>하은 태</t>
  </si>
  <si>
    <t>재이 민</t>
  </si>
  <si>
    <t>아린 윤</t>
  </si>
  <si>
    <t>지우 오</t>
  </si>
  <si>
    <t>서윤 강</t>
  </si>
  <si>
    <t>윤서 조</t>
  </si>
  <si>
    <t>수연 문</t>
  </si>
  <si>
    <t>소율 명</t>
  </si>
  <si>
    <t>서현 심</t>
  </si>
  <si>
    <t>지아 명</t>
  </si>
  <si>
    <t>수빈 동</t>
  </si>
  <si>
    <t>아인 곽</t>
  </si>
  <si>
    <t>태리 이</t>
  </si>
  <si>
    <t>서영 우</t>
  </si>
  <si>
    <t>윤서 명</t>
  </si>
  <si>
    <t>유주 이</t>
  </si>
  <si>
    <t>지안 태</t>
  </si>
  <si>
    <t>수연 차</t>
  </si>
  <si>
    <t>수연 곽</t>
  </si>
  <si>
    <t>유진 조</t>
  </si>
  <si>
    <t>수빈 복</t>
  </si>
  <si>
    <t>태리 하</t>
  </si>
  <si>
    <t>예린 하</t>
  </si>
  <si>
    <t>수연 임</t>
  </si>
  <si>
    <t>소윤 임</t>
  </si>
  <si>
    <t>연우 최</t>
  </si>
  <si>
    <t>태리 문</t>
  </si>
  <si>
    <t>서연 한</t>
  </si>
  <si>
    <t>재이 신</t>
  </si>
  <si>
    <t>태리 심</t>
  </si>
  <si>
    <t>서영 박</t>
  </si>
  <si>
    <t>태리 최</t>
  </si>
  <si>
    <t>지우 황</t>
  </si>
  <si>
    <t>리아 명</t>
  </si>
  <si>
    <t>하은 한</t>
  </si>
  <si>
    <t>민지 최</t>
  </si>
  <si>
    <t>하은 유</t>
  </si>
  <si>
    <t>윤서 진</t>
  </si>
  <si>
    <t>소율 구</t>
  </si>
  <si>
    <t>박초은</t>
  </si>
  <si>
    <t>2025년 무대음향 신입인원 2차 실무 합격자여부 확인서(총169명)</t>
  </si>
  <si>
    <t>이름</t>
  </si>
  <si>
    <t>3차합격</t>
  </si>
  <si>
    <t>1차입학시험</t>
  </si>
  <si>
    <t>2차면접</t>
  </si>
  <si>
    <t>면접합격여부</t>
  </si>
  <si>
    <t>지원분야</t>
  </si>
  <si>
    <t>현서 서</t>
  </si>
  <si>
    <t>y</t>
  </si>
  <si>
    <t>Y</t>
  </si>
  <si>
    <t>음향팀</t>
  </si>
  <si>
    <t>나은 안</t>
  </si>
  <si>
    <t>소윤 백</t>
  </si>
  <si>
    <t>민지 강</t>
  </si>
  <si>
    <t>아윤 권</t>
  </si>
  <si>
    <t>예린 이</t>
  </si>
  <si>
    <t>예린 명</t>
  </si>
  <si>
    <t>수연 송</t>
  </si>
  <si>
    <t>채원 오</t>
  </si>
  <si>
    <t>민서 마</t>
  </si>
  <si>
    <t>시아 명</t>
  </si>
  <si>
    <t>민서 김</t>
  </si>
  <si>
    <t>하린 민</t>
  </si>
  <si>
    <t>나은 명</t>
  </si>
  <si>
    <t>채은 구</t>
  </si>
  <si>
    <t>유나 남</t>
  </si>
  <si>
    <t>서연 장</t>
  </si>
  <si>
    <t>시은 황</t>
  </si>
  <si>
    <t>주아 백</t>
  </si>
  <si>
    <t>다은 복</t>
  </si>
  <si>
    <t>지아 윤</t>
  </si>
  <si>
    <t>하윤 표</t>
  </si>
  <si>
    <t>재이 서</t>
  </si>
  <si>
    <t>연우 구</t>
  </si>
  <si>
    <t>지원 홍</t>
  </si>
  <si>
    <t>재이 주</t>
  </si>
  <si>
    <t>시은 하</t>
  </si>
  <si>
    <t>채은 우</t>
  </si>
  <si>
    <t>채원 류</t>
  </si>
  <si>
    <t>현서 진</t>
  </si>
  <si>
    <t>윤아 구</t>
  </si>
  <si>
    <t>서아 권</t>
  </si>
  <si>
    <t>은서 최</t>
  </si>
  <si>
    <t>서현 허</t>
  </si>
  <si>
    <t>지원 남</t>
  </si>
  <si>
    <t>윤아 문</t>
  </si>
  <si>
    <t>시아 진</t>
  </si>
  <si>
    <t>수민 명</t>
  </si>
  <si>
    <t>지유 동</t>
  </si>
  <si>
    <t>아인 홍</t>
  </si>
  <si>
    <t>하윤 최</t>
  </si>
  <si>
    <t>태리 안</t>
  </si>
  <si>
    <t>지유 심</t>
  </si>
  <si>
    <t>예나 한</t>
  </si>
  <si>
    <t>윤아 조</t>
  </si>
  <si>
    <t>이서 표</t>
  </si>
  <si>
    <t>은서 남</t>
  </si>
  <si>
    <t>은서 노</t>
  </si>
  <si>
    <t>민서 문</t>
  </si>
  <si>
    <t>하은 장</t>
  </si>
  <si>
    <t>아윤 마</t>
  </si>
  <si>
    <t>하린 권</t>
  </si>
  <si>
    <t>연우 류</t>
  </si>
  <si>
    <t>주아 신</t>
  </si>
  <si>
    <t>아린 하</t>
  </si>
  <si>
    <t>하은 류</t>
  </si>
  <si>
    <t>하윤 이</t>
  </si>
  <si>
    <t>하린 명</t>
  </si>
  <si>
    <t>은서 석</t>
  </si>
  <si>
    <t>지원 한</t>
  </si>
  <si>
    <t>윤서 한</t>
  </si>
  <si>
    <t>연우 홍</t>
  </si>
  <si>
    <t>나은 이</t>
  </si>
  <si>
    <t>민지 신</t>
  </si>
  <si>
    <t>아인 노</t>
  </si>
  <si>
    <t>윤아 심</t>
  </si>
  <si>
    <t>은서 신</t>
  </si>
  <si>
    <t>지원 유</t>
  </si>
  <si>
    <t>예진 권</t>
  </si>
  <si>
    <t>민지 고</t>
  </si>
  <si>
    <t>아린 차</t>
  </si>
  <si>
    <t>로아 나</t>
  </si>
  <si>
    <t>윤서 임</t>
  </si>
  <si>
    <t>서윤 손</t>
  </si>
  <si>
    <t>서현 안</t>
  </si>
  <si>
    <t>아린 김</t>
  </si>
  <si>
    <t>윤서 박</t>
  </si>
  <si>
    <t>서연 복</t>
  </si>
  <si>
    <t>지민 강</t>
  </si>
  <si>
    <t>지민 석</t>
  </si>
  <si>
    <t>수민 박</t>
  </si>
  <si>
    <t>예나 마</t>
  </si>
  <si>
    <t>서연 송</t>
  </si>
  <si>
    <t>지우 한</t>
  </si>
  <si>
    <t>지우 석</t>
  </si>
  <si>
    <t>연우 동</t>
  </si>
  <si>
    <t>소율 나</t>
  </si>
  <si>
    <t>서윤 류</t>
  </si>
  <si>
    <t>서윤 전</t>
  </si>
  <si>
    <t>유나 김</t>
  </si>
  <si>
    <t>윤서 심</t>
  </si>
  <si>
    <t>연우 태</t>
  </si>
  <si>
    <t>서영 권</t>
  </si>
  <si>
    <t>서아 안</t>
  </si>
  <si>
    <t>이서 정</t>
  </si>
  <si>
    <t>연우 주</t>
  </si>
  <si>
    <t>이서 심</t>
  </si>
  <si>
    <t>나은 마</t>
  </si>
  <si>
    <t>아윤 서</t>
  </si>
  <si>
    <t>수연 최</t>
  </si>
  <si>
    <t>리아 박</t>
  </si>
  <si>
    <t>아인 나</t>
  </si>
  <si>
    <t>지원 고</t>
  </si>
  <si>
    <t>민서 차</t>
  </si>
  <si>
    <t>민서 표</t>
  </si>
  <si>
    <t>태리 류</t>
  </si>
  <si>
    <t>수연 류</t>
  </si>
  <si>
    <t>지유 조</t>
  </si>
  <si>
    <t>지우 남</t>
  </si>
  <si>
    <t>수연 배</t>
  </si>
  <si>
    <t>시아 정</t>
  </si>
  <si>
    <t>지원 문</t>
  </si>
  <si>
    <t>아린 고</t>
  </si>
  <si>
    <t>리아 마</t>
  </si>
  <si>
    <t>시아 구</t>
  </si>
  <si>
    <t>하은 성</t>
  </si>
  <si>
    <t>윤서 허</t>
  </si>
  <si>
    <t>수민 석</t>
  </si>
  <si>
    <t>윤아 표</t>
  </si>
  <si>
    <t>이서 강</t>
  </si>
  <si>
    <t>수아 우</t>
  </si>
  <si>
    <t>유나 정</t>
  </si>
  <si>
    <t>시은 백</t>
  </si>
  <si>
    <t>아인 하</t>
  </si>
  <si>
    <t>지안 홍</t>
  </si>
  <si>
    <t>채은 백</t>
  </si>
  <si>
    <t>소율 차</t>
  </si>
  <si>
    <t>지유 양</t>
  </si>
  <si>
    <t>지유 이</t>
  </si>
  <si>
    <t>나은 진</t>
  </si>
  <si>
    <t>아인 송</t>
  </si>
  <si>
    <t>하윤 전</t>
  </si>
  <si>
    <t>리아 홍</t>
  </si>
  <si>
    <t>다은 신</t>
  </si>
  <si>
    <t>나은 배</t>
  </si>
  <si>
    <t>아인 우</t>
  </si>
  <si>
    <t>윤아 허</t>
  </si>
  <si>
    <t>예나 하</t>
  </si>
  <si>
    <t>2025년 무대영상 신입인원 2차 면접 합격자여부 확인서(총50명)</t>
  </si>
  <si>
    <t>유주 석</t>
  </si>
  <si>
    <t>영상팀</t>
  </si>
  <si>
    <t>주아 류</t>
  </si>
  <si>
    <t>연우 민</t>
  </si>
  <si>
    <t>소윤 양</t>
  </si>
  <si>
    <t>수빈 나</t>
  </si>
  <si>
    <t>지유 윤</t>
  </si>
  <si>
    <t>서영 한</t>
  </si>
  <si>
    <t>수빈 성</t>
  </si>
  <si>
    <t>수아 남</t>
  </si>
  <si>
    <t>수아 양</t>
  </si>
  <si>
    <t>예진 홍</t>
  </si>
  <si>
    <t>윤아 곽</t>
  </si>
  <si>
    <t>유주 황</t>
  </si>
  <si>
    <t>민서 노</t>
  </si>
  <si>
    <t>유진 표</t>
  </si>
  <si>
    <t>채원 동</t>
  </si>
  <si>
    <t>채원 허</t>
  </si>
  <si>
    <t>로아 민</t>
  </si>
  <si>
    <t>로아 박</t>
  </si>
  <si>
    <t>예진 서</t>
  </si>
  <si>
    <t>아윤 태</t>
  </si>
  <si>
    <t>지안 차</t>
  </si>
  <si>
    <t>아인 조</t>
  </si>
  <si>
    <t>연우 나</t>
  </si>
  <si>
    <t>연우 손</t>
  </si>
  <si>
    <t>연우 노</t>
  </si>
  <si>
    <t>재이 황</t>
  </si>
  <si>
    <t>지우 나</t>
  </si>
  <si>
    <t>지우 홍</t>
  </si>
  <si>
    <t>리아 손</t>
  </si>
  <si>
    <t>윤아 민</t>
  </si>
  <si>
    <t>아윤 송</t>
  </si>
  <si>
    <t>연우 심</t>
  </si>
  <si>
    <t>수아 백</t>
  </si>
  <si>
    <t>예나 윤</t>
  </si>
  <si>
    <t>주아 손</t>
  </si>
  <si>
    <t>다은 진</t>
  </si>
  <si>
    <t>서영 지</t>
  </si>
  <si>
    <t>연우 하</t>
  </si>
  <si>
    <t>지유 마</t>
  </si>
  <si>
    <t>수아 유</t>
  </si>
  <si>
    <t>태리 장</t>
  </si>
  <si>
    <t>민서 서</t>
  </si>
  <si>
    <t>하은 서</t>
  </si>
  <si>
    <t>로아 심</t>
  </si>
  <si>
    <t>서현 양</t>
  </si>
  <si>
    <t>2025년 무대조명 신입인원 2차 면접 합격자여부 확인서(총50명)</t>
  </si>
  <si>
    <t>3차시험</t>
  </si>
  <si>
    <t>리아 곽</t>
  </si>
  <si>
    <t>조명팀</t>
  </si>
  <si>
    <t>예린 노</t>
  </si>
  <si>
    <t>윤아 김</t>
  </si>
  <si>
    <t>유나 지</t>
  </si>
  <si>
    <t>유나 진</t>
  </si>
  <si>
    <t>서윤 곽</t>
  </si>
  <si>
    <t>윤서 차</t>
  </si>
  <si>
    <t>지유 오</t>
  </si>
  <si>
    <t>서연 배</t>
  </si>
  <si>
    <t>유주 명</t>
  </si>
  <si>
    <t>수아 표</t>
  </si>
  <si>
    <t>수빈 주</t>
  </si>
  <si>
    <t>수아 한</t>
  </si>
  <si>
    <t>수민 임</t>
  </si>
  <si>
    <t>지우 서</t>
  </si>
  <si>
    <t>수민 태</t>
  </si>
  <si>
    <t>지우 허</t>
  </si>
  <si>
    <t>지원 박</t>
  </si>
  <si>
    <t>지안 임</t>
  </si>
  <si>
    <t>수아 명</t>
  </si>
  <si>
    <t>지아 전</t>
  </si>
  <si>
    <t>로아 허</t>
  </si>
  <si>
    <t>시아 이</t>
  </si>
  <si>
    <t>채은 장</t>
  </si>
  <si>
    <t>아린 곽</t>
  </si>
  <si>
    <t>태리 황</t>
  </si>
  <si>
    <t>예나 심</t>
  </si>
  <si>
    <t>서연 조</t>
  </si>
  <si>
    <t>서연 정</t>
  </si>
  <si>
    <t>소윤 이</t>
  </si>
  <si>
    <t>시은 최</t>
  </si>
  <si>
    <t>서연 김</t>
  </si>
  <si>
    <t>재이 송</t>
  </si>
  <si>
    <t>예나 동</t>
  </si>
  <si>
    <t>서윤 황</t>
  </si>
  <si>
    <t>소율 동</t>
  </si>
  <si>
    <t>지원 서</t>
  </si>
  <si>
    <t>아린 최</t>
  </si>
  <si>
    <t>채원 곽</t>
  </si>
  <si>
    <t>수빈 민</t>
  </si>
  <si>
    <t>아린 조</t>
  </si>
  <si>
    <t>지원 양</t>
  </si>
  <si>
    <t>소윤 명</t>
  </si>
  <si>
    <t>시은 손</t>
  </si>
  <si>
    <t>이서 성</t>
  </si>
  <si>
    <t>아윤 한</t>
  </si>
  <si>
    <t>수아 민</t>
  </si>
  <si>
    <t>예나 차</t>
  </si>
  <si>
    <t>하은 마</t>
  </si>
  <si>
    <t>유진 장</t>
  </si>
  <si>
    <t>2025년 무대계도 신입인원 2차 면접 합격자여부 확인서(총100명)</t>
  </si>
  <si>
    <t>합격여부</t>
  </si>
  <si>
    <t>지우 전</t>
  </si>
  <si>
    <t>계도팀</t>
  </si>
  <si>
    <t>수빈 최</t>
  </si>
  <si>
    <t>유나 구</t>
  </si>
  <si>
    <t>지유 서</t>
  </si>
  <si>
    <t>이서 하</t>
  </si>
  <si>
    <t>시아 하</t>
  </si>
  <si>
    <t>서윤 석</t>
  </si>
  <si>
    <t>수빈 윤</t>
  </si>
  <si>
    <t>하윤 구</t>
  </si>
  <si>
    <t>주아 하</t>
  </si>
  <si>
    <t>이서 홍</t>
  </si>
  <si>
    <t>예진 민</t>
  </si>
  <si>
    <t>소율 허</t>
  </si>
  <si>
    <t>예린 오</t>
  </si>
  <si>
    <t>지아 정</t>
  </si>
  <si>
    <t>지윤 성</t>
  </si>
  <si>
    <t>서현 남</t>
  </si>
  <si>
    <t>윤서 표</t>
  </si>
  <si>
    <t>서윤 양</t>
  </si>
  <si>
    <t>윤아 백</t>
  </si>
  <si>
    <t>수빈 배</t>
  </si>
  <si>
    <t>수빈 하</t>
  </si>
  <si>
    <t>채원 신</t>
  </si>
  <si>
    <t>연우 조</t>
  </si>
  <si>
    <t>다은 김</t>
  </si>
  <si>
    <t>서아 손</t>
  </si>
  <si>
    <t>소율 복</t>
  </si>
  <si>
    <t>예은 진</t>
  </si>
  <si>
    <t>하은 우</t>
  </si>
  <si>
    <t>채원 문</t>
  </si>
  <si>
    <t>서윤 문</t>
  </si>
  <si>
    <t>주아 홍</t>
  </si>
  <si>
    <t>유진 주</t>
  </si>
  <si>
    <t>지유 표</t>
  </si>
  <si>
    <t>시은 이</t>
  </si>
  <si>
    <t>지유 홍</t>
  </si>
  <si>
    <t>지민 표</t>
  </si>
  <si>
    <t>재이 양</t>
  </si>
  <si>
    <t>아윤 우</t>
  </si>
  <si>
    <t>예린 정</t>
  </si>
  <si>
    <t>주아 태</t>
  </si>
  <si>
    <t>은서 정</t>
  </si>
  <si>
    <t>소율 신</t>
  </si>
  <si>
    <t>태리 조</t>
  </si>
  <si>
    <t>시은 양</t>
  </si>
  <si>
    <t>하윤 곽</t>
  </si>
  <si>
    <t>유주 오</t>
  </si>
  <si>
    <t>시아 차</t>
  </si>
  <si>
    <t>아린 임</t>
  </si>
  <si>
    <t>나은 태</t>
  </si>
  <si>
    <t>유나 동</t>
  </si>
  <si>
    <t>채원 안</t>
  </si>
  <si>
    <t>서윤 허</t>
  </si>
  <si>
    <t>민서 석</t>
  </si>
  <si>
    <t>수아 석</t>
  </si>
  <si>
    <t>민지 나</t>
  </si>
  <si>
    <t>시은 송</t>
  </si>
  <si>
    <t>지우 박</t>
  </si>
  <si>
    <t>아윤 석</t>
  </si>
  <si>
    <t>지민 동</t>
  </si>
  <si>
    <t>민지 곽</t>
  </si>
  <si>
    <t>민지 백</t>
  </si>
  <si>
    <t>지원 지</t>
  </si>
  <si>
    <t>태리 강</t>
  </si>
  <si>
    <t>유진 류</t>
  </si>
  <si>
    <t>시아 마</t>
  </si>
  <si>
    <t>서아 류</t>
  </si>
  <si>
    <t>서연 하</t>
  </si>
  <si>
    <t>시은 윤</t>
  </si>
  <si>
    <t>다은 강</t>
  </si>
  <si>
    <t>지안 남</t>
  </si>
  <si>
    <t>예은 차</t>
  </si>
  <si>
    <t>연우 표</t>
  </si>
  <si>
    <t>서아 나</t>
  </si>
  <si>
    <t>예진 노</t>
  </si>
  <si>
    <t>채은 박</t>
  </si>
  <si>
    <t>지아 우</t>
  </si>
  <si>
    <t>서현 민</t>
  </si>
  <si>
    <t>시아 서</t>
  </si>
  <si>
    <t>하윤 유</t>
  </si>
  <si>
    <t>리아 권</t>
  </si>
  <si>
    <t>하린 한</t>
  </si>
  <si>
    <t>시은 류</t>
  </si>
  <si>
    <t>아인 황</t>
  </si>
  <si>
    <t>지유 석</t>
  </si>
  <si>
    <t>지안 성</t>
  </si>
  <si>
    <t>재이 복</t>
  </si>
  <si>
    <t>지원 손</t>
  </si>
  <si>
    <t>유주 복</t>
  </si>
  <si>
    <t>수연 성</t>
  </si>
  <si>
    <t>아인 안</t>
  </si>
  <si>
    <t>수민 배</t>
  </si>
  <si>
    <t>채은 서</t>
  </si>
  <si>
    <t>나은 동</t>
  </si>
  <si>
    <t>2025년 무대준비 신입인원 2차 면접 합격자여부 확인서(총81명)</t>
  </si>
  <si>
    <t>1차입학</t>
  </si>
  <si>
    <t>2차면접유/무</t>
  </si>
  <si>
    <t>실무가능유무</t>
  </si>
  <si>
    <r>
      <rPr>
        <b val="1"/>
        <sz val="15"/>
        <color indexed="8"/>
        <rFont val="맑은 고딕"/>
      </rPr>
      <t>서아</t>
    </r>
    <r>
      <rPr>
        <b val="1"/>
        <sz val="15"/>
        <color indexed="8"/>
        <rFont val="Consolas"/>
      </rPr>
      <t xml:space="preserve"> </t>
    </r>
    <r>
      <rPr>
        <b val="1"/>
        <sz val="15"/>
        <color indexed="8"/>
        <rFont val="맑은 고딕"/>
      </rPr>
      <t>배</t>
    </r>
  </si>
  <si>
    <t>준비팀</t>
  </si>
  <si>
    <t>아인 명</t>
  </si>
  <si>
    <t>서연 지</t>
  </si>
  <si>
    <t>아인 박</t>
  </si>
  <si>
    <t>로아 주</t>
  </si>
  <si>
    <t>소율 문</t>
  </si>
  <si>
    <t>아인 민</t>
  </si>
  <si>
    <t>예은 장</t>
  </si>
  <si>
    <t>예진 명</t>
  </si>
  <si>
    <t>서아 노</t>
  </si>
  <si>
    <t>지윤 김</t>
  </si>
  <si>
    <t>태리 신</t>
  </si>
  <si>
    <t>서연 임</t>
  </si>
  <si>
    <t>유나 황</t>
  </si>
  <si>
    <t>소율 장</t>
  </si>
  <si>
    <t>은서 성</t>
  </si>
  <si>
    <t>유나 배</t>
  </si>
  <si>
    <t>리아 문</t>
  </si>
  <si>
    <t>지윤 백</t>
  </si>
  <si>
    <t>예진 한</t>
  </si>
  <si>
    <t>태리 동</t>
  </si>
  <si>
    <t>시아 강</t>
  </si>
  <si>
    <t>소윤 조</t>
  </si>
  <si>
    <t>채은 한</t>
  </si>
  <si>
    <t>지유 진</t>
  </si>
  <si>
    <t>지민 장</t>
  </si>
  <si>
    <t>수민 동</t>
  </si>
  <si>
    <t>현서 조</t>
  </si>
  <si>
    <t>유진 최</t>
  </si>
  <si>
    <t>이서 윤</t>
  </si>
  <si>
    <t>서아 민</t>
  </si>
  <si>
    <t>윤아 노</t>
  </si>
  <si>
    <t>유주 백</t>
  </si>
  <si>
    <t>민서 배</t>
  </si>
  <si>
    <t>나은 박</t>
  </si>
  <si>
    <t>다은 윤</t>
  </si>
  <si>
    <t>리아 고</t>
  </si>
  <si>
    <t>연우 황</t>
  </si>
  <si>
    <t>서영 이</t>
  </si>
  <si>
    <t>아린 배</t>
  </si>
  <si>
    <t>지윤 이</t>
  </si>
  <si>
    <t>예나 장</t>
  </si>
  <si>
    <t>서영 성</t>
  </si>
  <si>
    <t>다은 노</t>
  </si>
  <si>
    <t>아윤 조</t>
  </si>
  <si>
    <t>현서 오</t>
  </si>
  <si>
    <t>수빈 조</t>
  </si>
  <si>
    <t>시아 최</t>
  </si>
  <si>
    <t>태리 백</t>
  </si>
  <si>
    <t>서연 표</t>
  </si>
  <si>
    <t>지안 장</t>
  </si>
  <si>
    <t>주아 주</t>
  </si>
  <si>
    <t>하린 이</t>
  </si>
  <si>
    <t>소율 윤</t>
  </si>
  <si>
    <t>하린 진</t>
  </si>
  <si>
    <t>시은 지</t>
  </si>
  <si>
    <t>이서 오</t>
  </si>
  <si>
    <t>수민 양</t>
  </si>
  <si>
    <t>유주 류</t>
  </si>
  <si>
    <t>지윤 한</t>
  </si>
  <si>
    <t>서영 홍</t>
  </si>
  <si>
    <t>지유 장</t>
  </si>
  <si>
    <t>아윤 주</t>
  </si>
  <si>
    <t>예린 민</t>
  </si>
  <si>
    <t>수빈 명</t>
  </si>
  <si>
    <t>채원 조</t>
  </si>
  <si>
    <t>나은 홍</t>
  </si>
  <si>
    <t>지민 차</t>
  </si>
  <si>
    <t>채원 표</t>
  </si>
  <si>
    <t>주아 안</t>
  </si>
  <si>
    <t>아린 구</t>
  </si>
  <si>
    <t>주아 황</t>
  </si>
  <si>
    <t>지민 민</t>
  </si>
  <si>
    <t>서현 장</t>
  </si>
  <si>
    <t>지유 박</t>
  </si>
  <si>
    <t>주아 구</t>
  </si>
  <si>
    <t>리아 오</t>
  </si>
  <si>
    <t>수아 이</t>
  </si>
  <si>
    <t>윤서 신</t>
  </si>
  <si>
    <t>주아 노</t>
  </si>
  <si>
    <t>2025년 신입인원 2차 면접 합격자 예비 인원 명단(총30명)</t>
  </si>
  <si>
    <t>시험합격유/무</t>
  </si>
  <si>
    <t>순번</t>
  </si>
  <si>
    <t>아린 진</t>
  </si>
  <si>
    <t>수빈 이</t>
  </si>
  <si>
    <t>채은 복</t>
  </si>
  <si>
    <t>수아 나</t>
  </si>
  <si>
    <t>수연 우</t>
  </si>
  <si>
    <t>지윤 구</t>
  </si>
  <si>
    <t>예은 명</t>
  </si>
  <si>
    <t>태리 우</t>
  </si>
  <si>
    <t>수민 표</t>
  </si>
  <si>
    <t>은서 오</t>
  </si>
  <si>
    <t>수민 지</t>
  </si>
  <si>
    <t>윤아 석</t>
  </si>
  <si>
    <t>수연 한</t>
  </si>
  <si>
    <t>하윤 김</t>
  </si>
  <si>
    <t>재이 조</t>
  </si>
  <si>
    <t>리아 전</t>
  </si>
  <si>
    <t>유진 진</t>
  </si>
  <si>
    <t>유진 나</t>
  </si>
  <si>
    <t>서아 윤</t>
  </si>
  <si>
    <t>하린 곽</t>
  </si>
  <si>
    <t>이서 나</t>
  </si>
  <si>
    <t>유나 심</t>
  </si>
  <si>
    <t>시아 우</t>
  </si>
  <si>
    <t>수빈 전</t>
  </si>
  <si>
    <t>이서 노</t>
  </si>
  <si>
    <t>수아 장</t>
  </si>
  <si>
    <t>지안 양</t>
  </si>
  <si>
    <t>시아 심</t>
  </si>
  <si>
    <t>지안 진</t>
  </si>
  <si>
    <t>3차실무</t>
  </si>
  <si>
    <t>실무점수</t>
  </si>
  <si>
    <t>실무합격여부</t>
  </si>
  <si>
    <t>n</t>
  </si>
  <si>
    <t>부서명</t>
  </si>
  <si>
    <t>물품</t>
  </si>
  <si>
    <t>수량</t>
  </si>
  <si>
    <t>여부</t>
  </si>
  <si>
    <t>무대계도팀</t>
  </si>
  <si>
    <t>M32</t>
  </si>
  <si>
    <t>25in스피커</t>
  </si>
  <si>
    <t>19*2</t>
  </si>
  <si>
    <t>20in우퍼</t>
  </si>
  <si>
    <t>8*2</t>
  </si>
  <si>
    <t>퍼XLR</t>
  </si>
  <si>
    <t>200m*6</t>
  </si>
  <si>
    <t>구즈넥</t>
  </si>
  <si>
    <t>앰프(2채널)</t>
  </si>
  <si>
    <t>프m55</t>
  </si>
  <si>
    <t>500m*2</t>
  </si>
  <si>
    <t>사슬</t>
  </si>
  <si>
    <t>200m</t>
  </si>
  <si>
    <t>크레인</t>
  </si>
  <si>
    <t>6기</t>
  </si>
  <si>
    <t>앰프BOX(21인)</t>
  </si>
  <si>
    <t>비용</t>
  </si>
  <si>
    <t>선길이따르값변경</t>
  </si>
  <si>
    <t>무선마이크(외장안테나)</t>
  </si>
  <si>
    <t>다이나믹마이크</t>
  </si>
  <si>
    <t>샷건마이크</t>
  </si>
  <si>
    <t>장비박스(9인)</t>
  </si>
  <si>
    <t>Z</t>
  </si>
  <si>
    <t>완료시체크</t>
  </si>
  <si>
    <t>물품리스트</t>
  </si>
  <si>
    <t>수량(개)</t>
  </si>
  <si>
    <t>의자(무대용)</t>
  </si>
  <si>
    <t>객석의자)</t>
  </si>
  <si>
    <t>무대용계단</t>
  </si>
  <si>
    <t>바리게이트</t>
  </si>
  <si>
    <t>꼬깔콘</t>
  </si>
  <si>
    <t>신부대기실쇼파(2m)</t>
  </si>
  <si>
    <t>객석임시조명</t>
  </si>
  <si>
    <t>Vip의자용천</t>
  </si>
  <si>
    <t>음료(커피류전체)2L</t>
  </si>
  <si>
    <t>//(탄산및주스)/</t>
  </si>
  <si>
    <t>간단한다과(전체)</t>
  </si>
  <si>
    <t>인원수*4</t>
  </si>
  <si>
    <t>식사(뷔폐용)</t>
  </si>
  <si>
    <t>인원수*2</t>
  </si>
  <si>
    <t>백업물품</t>
  </si>
  <si>
    <t>준비물품</t>
  </si>
  <si>
    <t>추가물품</t>
  </si>
  <si>
    <t>비;고</t>
  </si>
  <si>
    <t>정장/구두</t>
  </si>
  <si>
    <t>무선마이크no1</t>
  </si>
  <si>
    <t>의자</t>
  </si>
  <si>
    <t>정장/구두/드레스</t>
  </si>
  <si>
    <t>무선마이크no2</t>
  </si>
  <si>
    <t>김재민</t>
  </si>
  <si>
    <t>무선마이크no3</t>
  </si>
  <si>
    <t>관객석자리착석(VIP자리)</t>
  </si>
  <si>
    <t>무선마이크no4</t>
  </si>
  <si>
    <t>//</t>
  </si>
  <si>
    <t>포지션</t>
  </si>
  <si>
    <t>준비물</t>
  </si>
  <si>
    <t>진행일시</t>
  </si>
  <si>
    <t>메인</t>
  </si>
  <si>
    <t>X</t>
  </si>
  <si>
    <t>서브좌1</t>
  </si>
  <si>
    <t>서브좌2</t>
  </si>
  <si>
    <t>서브좌3</t>
  </si>
  <si>
    <t>서브좌4</t>
  </si>
  <si>
    <t>서브좌5</t>
  </si>
  <si>
    <t>서브좌6</t>
  </si>
  <si>
    <t>서브좌7</t>
  </si>
  <si>
    <t>서브좌8</t>
  </si>
  <si>
    <t>서브좌9</t>
  </si>
  <si>
    <t>서브좌10</t>
  </si>
  <si>
    <t>서브좌11</t>
  </si>
  <si>
    <t>서브좌12</t>
  </si>
  <si>
    <t>서브좌13</t>
  </si>
  <si>
    <t>서브좌14</t>
  </si>
  <si>
    <t>서브좌15</t>
  </si>
  <si>
    <t>무대 우1</t>
  </si>
  <si>
    <t>무대 우2</t>
  </si>
  <si>
    <t>무대 우3</t>
  </si>
  <si>
    <t>무대 우4</t>
  </si>
  <si>
    <t>무대 우5</t>
  </si>
  <si>
    <t>무대 우6</t>
  </si>
  <si>
    <t>무대 우7</t>
  </si>
  <si>
    <t>무대 우8</t>
  </si>
  <si>
    <t>무대 우9</t>
  </si>
  <si>
    <t>무대 우10</t>
  </si>
  <si>
    <t>무대 우11</t>
  </si>
  <si>
    <t>무대 뒤1</t>
  </si>
  <si>
    <t>무대 뒤2</t>
  </si>
  <si>
    <t>무대 뒤3</t>
  </si>
  <si>
    <t>무대 뒤4</t>
  </si>
  <si>
    <t>무대 뒤5</t>
  </si>
  <si>
    <t>무대 뒤6</t>
  </si>
  <si>
    <t>무대 뒤7</t>
  </si>
  <si>
    <t>무대 뒤8</t>
  </si>
  <si>
    <t>무대 뒤9</t>
  </si>
  <si>
    <t>무대 뒤10</t>
  </si>
  <si>
    <t>무대 뒤11</t>
  </si>
  <si>
    <t>무대스텝 1</t>
  </si>
  <si>
    <t>무대스텝 2</t>
  </si>
  <si>
    <t>무대스텝 3</t>
  </si>
  <si>
    <t>무대스텝 4</t>
  </si>
  <si>
    <t>무대스텝 5</t>
  </si>
  <si>
    <t>무대스텝 6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</si>
</sst>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#&quot;팀&quot;"/>
    <numFmt numFmtId="60" formatCode="#,##0&quot; &quot;"/>
    <numFmt numFmtId="61" formatCode="AM/PM h:mm"/>
  </numFmts>
  <fonts count="21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맑은 고딕"/>
    </font>
    <font>
      <sz val="14"/>
      <color indexed="8"/>
      <name val="맑은 고딕"/>
    </font>
    <font>
      <u val="single"/>
      <sz val="12"/>
      <color indexed="13"/>
      <name val="맑은 고딕"/>
    </font>
    <font>
      <sz val="16"/>
      <color indexed="14"/>
      <name val="맑은 고딕"/>
    </font>
    <font>
      <sz val="16"/>
      <color indexed="14"/>
      <name val="Helvetica Neue"/>
    </font>
    <font>
      <b val="1"/>
      <sz val="9"/>
      <color indexed="8"/>
      <name val="맑은 고딕"/>
    </font>
    <font>
      <b val="1"/>
      <sz val="20"/>
      <color indexed="8"/>
      <name val="맑은 고딕"/>
    </font>
    <font>
      <b val="1"/>
      <sz val="11"/>
      <color indexed="8"/>
      <name val="맑은 고딕"/>
    </font>
    <font>
      <b val="1"/>
      <sz val="26"/>
      <color indexed="8"/>
      <name val="맑은 고딕"/>
    </font>
    <font>
      <b val="1"/>
      <sz val="11"/>
      <color indexed="9"/>
      <name val="맑은 고딕"/>
    </font>
    <font>
      <b val="1"/>
      <sz val="22"/>
      <color indexed="8"/>
      <name val="맑은 고딕"/>
    </font>
    <font>
      <b val="1"/>
      <sz val="15"/>
      <color indexed="9"/>
      <name val="Consolas"/>
    </font>
    <font>
      <b val="1"/>
      <sz val="16"/>
      <color indexed="8"/>
      <name val="맑은 고딕"/>
    </font>
    <font>
      <b val="1"/>
      <sz val="15"/>
      <color indexed="8"/>
      <name val="Consolas"/>
    </font>
    <font>
      <sz val="11"/>
      <color indexed="9"/>
      <name val="맑은 고딕"/>
    </font>
    <font>
      <b val="1"/>
      <sz val="14"/>
      <color indexed="8"/>
      <name val="맑은 고딕"/>
    </font>
    <font>
      <b val="1"/>
      <sz val="15"/>
      <color indexed="8"/>
      <name val="맑은 고딕"/>
    </font>
    <font>
      <sz val="15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6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6"/>
      </bottom>
      <diagonal/>
    </border>
    <border>
      <left/>
      <right/>
      <top style="thin">
        <color indexed="10"/>
      </top>
      <bottom style="thin">
        <color indexed="16"/>
      </bottom>
      <diagonal/>
    </border>
    <border>
      <left/>
      <right style="thin">
        <color indexed="10"/>
      </right>
      <top style="thin">
        <color indexed="10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/>
      <bottom/>
      <diagonal/>
    </border>
    <border>
      <left style="thin">
        <color indexed="16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6"/>
      </top>
      <bottom/>
      <diagonal/>
    </border>
    <border>
      <left/>
      <right/>
      <top style="thin">
        <color indexed="16"/>
      </top>
      <bottom/>
      <diagonal/>
    </border>
    <border>
      <left/>
      <right style="thin">
        <color indexed="10"/>
      </right>
      <top style="thin">
        <color indexed="16"/>
      </top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8"/>
      </bottom>
      <diagonal/>
    </border>
    <border>
      <left style="thin">
        <color indexed="16"/>
      </left>
      <right style="thin">
        <color indexed="8"/>
      </right>
      <top style="thin">
        <color indexed="17"/>
      </top>
      <bottom style="thin">
        <color indexed="16"/>
      </bottom>
      <diagonal/>
    </border>
    <border>
      <left style="thin">
        <color indexed="8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8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90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horizontal="left" vertical="center" wrapText="1"/>
    </xf>
    <xf numFmtId="49" fontId="4" fillId="2" borderId="5" applyNumberFormat="1" applyFont="1" applyFill="1" applyBorder="1" applyAlignment="1" applyProtection="0">
      <alignment horizontal="left" vertical="center"/>
    </xf>
    <xf numFmtId="49" fontId="3" fillId="3" borderId="5" applyNumberFormat="1" applyFont="1" applyFill="1" applyBorder="1" applyAlignment="1" applyProtection="0">
      <alignment horizontal="left" vertical="center"/>
    </xf>
    <xf numFmtId="0" fontId="3" fillId="3" borderId="5" applyNumberFormat="0" applyFont="1" applyFill="1" applyBorder="1" applyAlignment="1" applyProtection="0">
      <alignment horizontal="left" vertical="center"/>
    </xf>
    <xf numFmtId="0" fontId="3" fillId="4" borderId="5" applyNumberFormat="0" applyFont="1" applyFill="1" applyBorder="1" applyAlignment="1" applyProtection="0">
      <alignment horizontal="left" vertical="center"/>
    </xf>
    <xf numFmtId="49" fontId="3" fillId="4" borderId="5" applyNumberFormat="1" applyFont="1" applyFill="1" applyBorder="1" applyAlignment="1" applyProtection="0">
      <alignment horizontal="left" vertical="center"/>
    </xf>
    <xf numFmtId="49" fontId="5" fillId="4" borderId="5" applyNumberFormat="1" applyFont="1" applyFill="1" applyBorder="1" applyAlignment="1" applyProtection="0">
      <alignment horizontal="left" vertical="center"/>
    </xf>
    <xf numFmtId="0" fontId="0" fillId="2" borderId="7" applyNumberFormat="0" applyFont="1" applyFill="1" applyBorder="1" applyAlignment="1" applyProtection="0">
      <alignment vertical="center"/>
    </xf>
    <xf numFmtId="0" fontId="3" fillId="4" borderId="8" applyNumberFormat="0" applyFont="1" applyFill="1" applyBorder="1" applyAlignment="1" applyProtection="0">
      <alignment horizontal="left" vertical="center"/>
    </xf>
    <xf numFmtId="49" fontId="3" fillId="4" borderId="8" applyNumberFormat="1" applyFont="1" applyFill="1" applyBorder="1" applyAlignment="1" applyProtection="0">
      <alignment horizontal="left" vertical="center"/>
    </xf>
    <xf numFmtId="49" fontId="5" fillId="4" borderId="8" applyNumberFormat="1" applyFont="1" applyFill="1" applyBorder="1" applyAlignment="1" applyProtection="0">
      <alignment horizontal="left" vertical="center"/>
    </xf>
    <xf numFmtId="0" fontId="0" fillId="2" borderId="9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6" fillId="2" borderId="10" applyNumberFormat="1" applyFont="1" applyFill="1" applyBorder="1" applyAlignment="1" applyProtection="0">
      <alignment horizontal="left" vertical="center" wrapText="1"/>
    </xf>
    <xf numFmtId="49" fontId="6" fillId="2" borderId="11" applyNumberFormat="1" applyFont="1" applyFill="1" applyBorder="1" applyAlignment="1" applyProtection="0">
      <alignment horizontal="left" vertical="center" wrapText="1"/>
    </xf>
    <xf numFmtId="49" fontId="6" fillId="2" borderId="11" applyNumberFormat="1" applyFont="1" applyFill="1" applyBorder="1" applyAlignment="1" applyProtection="0">
      <alignment horizontal="left" vertical="center"/>
    </xf>
    <xf numFmtId="49" fontId="6" fillId="2" borderId="10" applyNumberFormat="1" applyFont="1" applyFill="1" applyBorder="1" applyAlignment="1" applyProtection="0">
      <alignment horizontal="left" vertical="center"/>
    </xf>
    <xf numFmtId="49" fontId="7" fillId="2" borderId="12" applyNumberFormat="1" applyFont="1" applyFill="1" applyBorder="1" applyAlignment="1" applyProtection="0">
      <alignment horizontal="left" vertical="center"/>
    </xf>
    <xf numFmtId="49" fontId="8" fillId="2" borderId="13" applyNumberFormat="1" applyFont="1" applyFill="1" applyBorder="1" applyAlignment="1" applyProtection="0">
      <alignment vertical="center" wrapText="1"/>
    </xf>
    <xf numFmtId="49" fontId="3" borderId="14" applyNumberFormat="1" applyFont="1" applyFill="0" applyBorder="1" applyAlignment="1" applyProtection="0">
      <alignment horizontal="center" vertical="bottom"/>
    </xf>
    <xf numFmtId="49" fontId="8" fillId="2" borderId="15" applyNumberFormat="1" applyFont="1" applyFill="1" applyBorder="1" applyAlignment="1" applyProtection="0">
      <alignment horizontal="center" vertical="center"/>
    </xf>
    <xf numFmtId="49" fontId="8" fillId="2" borderId="10" applyNumberFormat="1" applyFont="1" applyFill="1" applyBorder="1" applyAlignment="1" applyProtection="0">
      <alignment horizontal="center" vertical="center"/>
    </xf>
    <xf numFmtId="0" fontId="0" fillId="2" borderId="16" applyNumberFormat="0" applyFont="1" applyFill="1" applyBorder="1" applyAlignment="1" applyProtection="0">
      <alignment vertical="center"/>
    </xf>
    <xf numFmtId="0" fontId="0" fillId="2" borderId="16" applyNumberFormat="0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horizontal="center" vertical="center"/>
    </xf>
    <xf numFmtId="59" fontId="8" fillId="2" borderId="15" applyNumberFormat="1" applyFont="1" applyFill="1" applyBorder="1" applyAlignment="1" applyProtection="0">
      <alignment horizontal="center" vertical="center"/>
    </xf>
    <xf numFmtId="0" fontId="8" fillId="2" borderId="10" applyNumberFormat="0" applyFont="1" applyFill="1" applyBorder="1" applyAlignment="1" applyProtection="0">
      <alignment horizontal="center" vertical="center"/>
    </xf>
    <xf numFmtId="0" fontId="0" borderId="14" applyNumberFormat="0" applyFont="1" applyFill="0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center"/>
    </xf>
    <xf numFmtId="0" fontId="0" fillId="2" borderId="17" applyNumberFormat="0" applyFont="1" applyFill="1" applyBorder="1" applyAlignment="1" applyProtection="0">
      <alignment vertical="center"/>
    </xf>
    <xf numFmtId="0" fontId="0" fillId="2" borderId="18" applyNumberFormat="0" applyFont="1" applyFill="1" applyBorder="1" applyAlignment="1" applyProtection="0">
      <alignment vertical="center"/>
    </xf>
    <xf numFmtId="49" fontId="0" fillId="2" borderId="16" applyNumberFormat="1" applyFont="1" applyFill="1" applyBorder="1" applyAlignment="1" applyProtection="0">
      <alignment horizontal="center" vertical="center"/>
    </xf>
    <xf numFmtId="49" fontId="8" fillId="2" borderId="10" applyNumberFormat="1" applyFont="1" applyFill="1" applyBorder="1" applyAlignment="1" applyProtection="0">
      <alignment horizontal="center" vertical="center" wrapText="1"/>
    </xf>
    <xf numFmtId="0" fontId="0" fillId="2" borderId="19" applyNumberFormat="0" applyFont="1" applyFill="1" applyBorder="1" applyAlignment="1" applyProtection="0">
      <alignment vertical="center"/>
    </xf>
    <xf numFmtId="0" fontId="0" fillId="2" borderId="20" applyNumberFormat="0" applyFont="1" applyFill="1" applyBorder="1" applyAlignment="1" applyProtection="0">
      <alignment vertical="center"/>
    </xf>
    <xf numFmtId="0" fontId="0" fillId="2" borderId="21" applyNumberFormat="0" applyFont="1" applyFill="1" applyBorder="1" applyAlignment="1" applyProtection="0">
      <alignment vertical="center"/>
    </xf>
    <xf numFmtId="49" fontId="8" fillId="2" borderId="10" applyNumberFormat="1" applyFont="1" applyFill="1" applyBorder="1" applyAlignment="1" applyProtection="0">
      <alignment vertical="center" wrapText="1"/>
    </xf>
    <xf numFmtId="49" fontId="3" borderId="22" applyNumberFormat="1" applyFont="1" applyFill="0" applyBorder="1" applyAlignment="1" applyProtection="0">
      <alignment horizontal="center" vertical="bottom"/>
    </xf>
    <xf numFmtId="49" fontId="3" borderId="23" applyNumberFormat="1" applyFont="1" applyFill="0" applyBorder="1" applyAlignment="1" applyProtection="0">
      <alignment horizontal="center" vertical="bottom"/>
    </xf>
    <xf numFmtId="59" fontId="8" fillId="2" borderId="10" applyNumberFormat="1" applyFont="1" applyFill="1" applyBorder="1" applyAlignment="1" applyProtection="0">
      <alignment horizontal="center" vertical="center"/>
    </xf>
    <xf numFmtId="0" fontId="3" borderId="14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center"/>
    </xf>
    <xf numFmtId="49" fontId="9" fillId="5" borderId="10" applyNumberFormat="1" applyFont="1" applyFill="1" applyBorder="1" applyAlignment="1" applyProtection="0">
      <alignment horizontal="center" vertical="center"/>
    </xf>
    <xf numFmtId="0" fontId="9" fillId="5" borderId="10" applyNumberFormat="0" applyFont="1" applyFill="1" applyBorder="1" applyAlignment="1" applyProtection="0">
      <alignment horizontal="center" vertical="center"/>
    </xf>
    <xf numFmtId="0" fontId="10" fillId="5" borderId="12" applyNumberFormat="0" applyFont="1" applyFill="1" applyBorder="1" applyAlignment="1" applyProtection="0">
      <alignment vertical="center"/>
    </xf>
    <xf numFmtId="0" fontId="10" fillId="5" borderId="3" applyNumberFormat="0" applyFont="1" applyFill="1" applyBorder="1" applyAlignment="1" applyProtection="0">
      <alignment vertical="center"/>
    </xf>
    <xf numFmtId="0" fontId="10" fillId="5" borderId="16" applyNumberFormat="0" applyFont="1" applyFill="1" applyBorder="1" applyAlignment="1" applyProtection="0">
      <alignment vertical="center"/>
    </xf>
    <xf numFmtId="0" fontId="10" fillId="5" borderId="6" applyNumberFormat="0" applyFont="1" applyFill="1" applyBorder="1" applyAlignment="1" applyProtection="0">
      <alignment vertical="center"/>
    </xf>
    <xf numFmtId="0" fontId="8" fillId="2" borderId="16" applyNumberFormat="0" applyFont="1" applyFill="1" applyBorder="1" applyAlignment="1" applyProtection="0">
      <alignment horizontal="center" vertical="center"/>
    </xf>
    <xf numFmtId="49" fontId="8" fillId="2" borderId="10" applyNumberFormat="1" applyFont="1" applyFill="1" applyBorder="1" applyAlignment="1" applyProtection="0">
      <alignment vertical="center"/>
    </xf>
    <xf numFmtId="49" fontId="8" fillId="2" borderId="24" applyNumberFormat="1" applyFont="1" applyFill="1" applyBorder="1" applyAlignment="1" applyProtection="0">
      <alignment vertical="center" wrapText="1"/>
    </xf>
    <xf numFmtId="0" fontId="0" fillId="2" borderId="25" applyNumberFormat="0" applyFont="1" applyFill="1" applyBorder="1" applyAlignment="1" applyProtection="0">
      <alignment vertical="center"/>
    </xf>
    <xf numFmtId="0" fontId="0" fillId="2" borderId="26" applyNumberFormat="0" applyFont="1" applyFill="1" applyBorder="1" applyAlignment="1" applyProtection="0">
      <alignment vertical="center"/>
    </xf>
    <xf numFmtId="0" fontId="8" fillId="2" borderId="16" applyNumberFormat="0" applyFont="1" applyFill="1" applyBorder="1" applyAlignment="1" applyProtection="0">
      <alignment horizontal="center" vertical="center" wrapText="1"/>
    </xf>
    <xf numFmtId="59" fontId="8" fillId="2" borderId="26" applyNumberFormat="1" applyFont="1" applyFill="1" applyBorder="1" applyAlignment="1" applyProtection="0">
      <alignment horizontal="center" vertical="center"/>
    </xf>
    <xf numFmtId="0" fontId="8" fillId="2" borderId="19" applyNumberFormat="0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49" fontId="11" fillId="2" borderId="10" applyNumberFormat="1" applyFont="1" applyFill="1" applyBorder="1" applyAlignment="1" applyProtection="0">
      <alignment horizontal="center" vertical="center"/>
    </xf>
    <xf numFmtId="0" fontId="0" fillId="2" borderId="10" applyNumberFormat="0" applyFont="1" applyFill="1" applyBorder="1" applyAlignment="1" applyProtection="0">
      <alignment horizontal="center" vertical="center"/>
    </xf>
    <xf numFmtId="0" fontId="0" fillId="2" borderId="12" applyNumberFormat="0" applyFont="1" applyFill="1" applyBorder="1" applyAlignment="1" applyProtection="0">
      <alignment vertical="center"/>
    </xf>
    <xf numFmtId="0" fontId="0" fillId="2" borderId="27" applyNumberFormat="0" applyFont="1" applyFill="1" applyBorder="1" applyAlignment="1" applyProtection="0">
      <alignment vertical="center"/>
    </xf>
    <xf numFmtId="0" fontId="10" fillId="2" borderId="24" applyNumberFormat="0" applyFont="1" applyFill="1" applyBorder="1" applyAlignment="1" applyProtection="0">
      <alignment horizontal="center" vertical="center"/>
    </xf>
    <xf numFmtId="49" fontId="12" fillId="6" borderId="10" applyNumberFormat="1" applyFont="1" applyFill="1" applyBorder="1" applyAlignment="1" applyProtection="0">
      <alignment horizontal="center" vertical="center"/>
    </xf>
    <xf numFmtId="0" fontId="0" fillId="2" borderId="28" applyNumberFormat="0" applyFont="1" applyFill="1" applyBorder="1" applyAlignment="1" applyProtection="0">
      <alignment vertical="center"/>
    </xf>
    <xf numFmtId="49" fontId="10" fillId="2" borderId="10" applyNumberFormat="1" applyFont="1" applyFill="1" applyBorder="1" applyAlignment="1" applyProtection="0">
      <alignment horizontal="center" vertical="center"/>
    </xf>
    <xf numFmtId="0" fontId="10" fillId="2" borderId="10" applyNumberFormat="0" applyFont="1" applyFill="1" applyBorder="1" applyAlignment="1" applyProtection="0">
      <alignment horizontal="center" vertical="center"/>
    </xf>
    <xf numFmtId="49" fontId="10" fillId="2" borderId="29" applyNumberFormat="1" applyFont="1" applyFill="1" applyBorder="1" applyAlignment="1" applyProtection="0">
      <alignment horizontal="center" vertical="center"/>
    </xf>
    <xf numFmtId="0" fontId="10" fillId="2" borderId="30" applyNumberFormat="0" applyFont="1" applyFill="1" applyBorder="1" applyAlignment="1" applyProtection="0">
      <alignment horizontal="center" vertical="center"/>
    </xf>
    <xf numFmtId="0" fontId="10" fillId="2" borderId="31" applyNumberFormat="0" applyFont="1" applyFill="1" applyBorder="1" applyAlignment="1" applyProtection="0">
      <alignment horizontal="center" vertical="center"/>
    </xf>
    <xf numFmtId="0" fontId="10" fillId="2" borderId="10" applyNumberFormat="1" applyFont="1" applyFill="1" applyBorder="1" applyAlignment="1" applyProtection="0">
      <alignment horizontal="center" vertical="center"/>
    </xf>
    <xf numFmtId="0" fontId="0" fillId="2" borderId="29" applyNumberFormat="0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center"/>
    </xf>
    <xf numFmtId="0" fontId="10" fillId="2" borderId="29" applyNumberFormat="0" applyFont="1" applyFill="1" applyBorder="1" applyAlignment="1" applyProtection="0">
      <alignment horizontal="center" vertical="center"/>
    </xf>
    <xf numFmtId="0" fontId="0" fillId="2" borderId="32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13" fillId="2" borderId="10" applyNumberFormat="1" applyFont="1" applyFill="1" applyBorder="1" applyAlignment="1" applyProtection="0">
      <alignment horizontal="center" vertical="center"/>
    </xf>
    <xf numFmtId="0" fontId="0" fillId="2" borderId="33" applyNumberFormat="0" applyFont="1" applyFill="1" applyBorder="1" applyAlignment="1" applyProtection="0">
      <alignment horizontal="center" vertical="center"/>
    </xf>
    <xf numFmtId="49" fontId="14" fillId="2" borderId="2" applyNumberFormat="1" applyFont="1" applyFill="1" applyBorder="1" applyAlignment="1" applyProtection="0">
      <alignment horizontal="center" vertical="center"/>
    </xf>
    <xf numFmtId="49" fontId="14" fillId="2" borderId="3" applyNumberFormat="1" applyFont="1" applyFill="1" applyBorder="1" applyAlignment="1" applyProtection="0">
      <alignment horizontal="center" vertical="center"/>
    </xf>
    <xf numFmtId="49" fontId="14" fillId="2" borderId="5" applyNumberFormat="1" applyFont="1" applyFill="1" applyBorder="1" applyAlignment="1" applyProtection="0">
      <alignment horizontal="center" vertical="center"/>
    </xf>
    <xf numFmtId="49" fontId="14" fillId="2" borderId="6" applyNumberFormat="1" applyFont="1" applyFill="1" applyBorder="1" applyAlignment="1" applyProtection="0">
      <alignment horizontal="center" vertical="center"/>
    </xf>
    <xf numFmtId="49" fontId="15" fillId="2" borderId="10" applyNumberFormat="1" applyFont="1" applyFill="1" applyBorder="1" applyAlignment="1" applyProtection="0">
      <alignment horizontal="center" vertical="center"/>
    </xf>
    <xf numFmtId="49" fontId="15" fillId="2" borderId="33" applyNumberFormat="1" applyFont="1" applyFill="1" applyBorder="1" applyAlignment="1" applyProtection="0">
      <alignment horizontal="center" vertical="center"/>
    </xf>
    <xf numFmtId="0" fontId="15" fillId="2" borderId="26" applyNumberFormat="0" applyFont="1" applyFill="1" applyBorder="1" applyAlignment="1" applyProtection="0">
      <alignment horizontal="center" vertical="center"/>
    </xf>
    <xf numFmtId="0" fontId="15" fillId="2" borderId="33" applyNumberFormat="0" applyFont="1" applyFill="1" applyBorder="1" applyAlignment="1" applyProtection="0">
      <alignment horizontal="center" vertical="center"/>
    </xf>
    <xf numFmtId="49" fontId="16" fillId="2" borderId="10" applyNumberFormat="1" applyFont="1" applyFill="1" applyBorder="1" applyAlignment="1" applyProtection="0">
      <alignment horizontal="center" vertical="center"/>
    </xf>
    <xf numFmtId="0" fontId="15" fillId="2" borderId="10" applyNumberFormat="0" applyFont="1" applyFill="1" applyBorder="1" applyAlignment="1" applyProtection="0">
      <alignment horizontal="center" vertical="center"/>
    </xf>
    <xf numFmtId="49" fontId="10" fillId="2" borderId="33" applyNumberFormat="1" applyFont="1" applyFill="1" applyBorder="1" applyAlignment="1" applyProtection="0">
      <alignment horizontal="center" vertical="center"/>
    </xf>
    <xf numFmtId="0" fontId="10" fillId="2" borderId="18" applyNumberFormat="0" applyFont="1" applyFill="1" applyBorder="1" applyAlignment="1" applyProtection="0">
      <alignment horizontal="center" vertical="center"/>
    </xf>
    <xf numFmtId="49" fontId="10" fillId="2" borderId="34" applyNumberFormat="1" applyFont="1" applyFill="1" applyBorder="1" applyAlignment="1" applyProtection="0">
      <alignment horizontal="center" vertical="center" wrapText="1"/>
    </xf>
    <xf numFmtId="49" fontId="10" fillId="2" borderId="35" applyNumberFormat="1" applyFont="1" applyFill="1" applyBorder="1" applyAlignment="1" applyProtection="0">
      <alignment horizontal="center" vertical="center"/>
    </xf>
    <xf numFmtId="0" fontId="10" fillId="2" borderId="36" applyNumberFormat="0" applyFont="1" applyFill="1" applyBorder="1" applyAlignment="1" applyProtection="0">
      <alignment horizontal="center" vertical="center"/>
    </xf>
    <xf numFmtId="0" fontId="10" fillId="2" borderId="37" applyNumberFormat="0" applyFont="1" applyFill="1" applyBorder="1" applyAlignment="1" applyProtection="0">
      <alignment horizontal="center" vertical="center"/>
    </xf>
    <xf numFmtId="0" fontId="10" fillId="2" borderId="38" applyNumberFormat="0" applyFont="1" applyFill="1" applyBorder="1" applyAlignment="1" applyProtection="0">
      <alignment horizontal="center" vertical="center" wrapText="1"/>
    </xf>
    <xf numFmtId="0" fontId="10" fillId="2" borderId="16" applyNumberFormat="0" applyFont="1" applyFill="1" applyBorder="1" applyAlignment="1" applyProtection="0">
      <alignment horizontal="center" vertical="center"/>
    </xf>
    <xf numFmtId="0" fontId="10" fillId="2" borderId="5" applyNumberFormat="0" applyFont="1" applyFill="1" applyBorder="1" applyAlignment="1" applyProtection="0">
      <alignment horizontal="center" vertical="center"/>
    </xf>
    <xf numFmtId="0" fontId="10" fillId="2" borderId="27" applyNumberFormat="0" applyFont="1" applyFill="1" applyBorder="1" applyAlignment="1" applyProtection="0">
      <alignment horizontal="center" vertical="center"/>
    </xf>
    <xf numFmtId="0" fontId="10" fillId="2" borderId="39" applyNumberFormat="0" applyFont="1" applyFill="1" applyBorder="1" applyAlignment="1" applyProtection="0">
      <alignment horizontal="center" vertical="center"/>
    </xf>
    <xf numFmtId="0" fontId="10" fillId="2" borderId="40" applyNumberFormat="0" applyFont="1" applyFill="1" applyBorder="1" applyAlignment="1" applyProtection="0">
      <alignment horizontal="center" vertical="center" wrapText="1"/>
    </xf>
    <xf numFmtId="0" fontId="10" fillId="2" borderId="41" applyNumberFormat="0" applyFont="1" applyFill="1" applyBorder="1" applyAlignment="1" applyProtection="0">
      <alignment horizontal="center" vertical="center"/>
    </xf>
    <xf numFmtId="0" fontId="15" fillId="2" borderId="42" applyNumberFormat="0" applyFont="1" applyFill="1" applyBorder="1" applyAlignment="1" applyProtection="0">
      <alignment horizontal="center" vertical="center"/>
    </xf>
    <xf numFmtId="0" fontId="15" fillId="2" borderId="36" applyNumberFormat="0" applyFont="1" applyFill="1" applyBorder="1" applyAlignment="1" applyProtection="0">
      <alignment horizontal="center" vertical="center"/>
    </xf>
    <xf numFmtId="0" fontId="0" fillId="2" borderId="36" applyNumberFormat="0" applyFont="1" applyFill="1" applyBorder="1" applyAlignment="1" applyProtection="0">
      <alignment vertical="center"/>
    </xf>
    <xf numFmtId="0" fontId="15" fillId="2" borderId="4" applyNumberFormat="0" applyFont="1" applyFill="1" applyBorder="1" applyAlignment="1" applyProtection="0">
      <alignment horizontal="center" vertical="center"/>
    </xf>
    <xf numFmtId="0" fontId="15" fillId="2" borderId="5" applyNumberFormat="0" applyFont="1" applyFill="1" applyBorder="1" applyAlignment="1" applyProtection="0">
      <alignment horizontal="center" vertical="center"/>
    </xf>
    <xf numFmtId="0" fontId="0" fillId="2" borderId="8" applyNumberFormat="0" applyFont="1" applyFill="1" applyBorder="1" applyAlignment="1" applyProtection="0">
      <alignment vertical="center"/>
    </xf>
    <xf numFmtId="49" fontId="14" fillId="2" borderId="8" applyNumberFormat="1" applyFont="1" applyFill="1" applyBorder="1" applyAlignment="1" applyProtection="0">
      <alignment horizontal="center" vertical="center"/>
    </xf>
    <xf numFmtId="0" fontId="17" fillId="2" borderId="9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43" applyNumberFormat="0" applyFont="1" applyFill="1" applyBorder="1" applyAlignment="1" applyProtection="0">
      <alignment horizontal="center" vertical="center"/>
    </xf>
    <xf numFmtId="0" fontId="0" fillId="2" borderId="44" applyNumberFormat="0" applyFont="1" applyFill="1" applyBorder="1" applyAlignment="1" applyProtection="0">
      <alignment vertical="center"/>
    </xf>
    <xf numFmtId="0" fontId="0" fillId="2" borderId="45" applyNumberFormat="0" applyFont="1" applyFill="1" applyBorder="1" applyAlignment="1" applyProtection="0">
      <alignment vertical="center"/>
    </xf>
    <xf numFmtId="49" fontId="15" fillId="2" borderId="43" applyNumberFormat="1" applyFont="1" applyFill="1" applyBorder="1" applyAlignment="1" applyProtection="0">
      <alignment horizontal="center" vertical="center"/>
    </xf>
    <xf numFmtId="0" fontId="15" fillId="2" borderId="46" applyNumberFormat="0" applyFont="1" applyFill="1" applyBorder="1" applyAlignment="1" applyProtection="0">
      <alignment horizontal="center" vertical="center"/>
    </xf>
    <xf numFmtId="0" fontId="15" fillId="2" borderId="24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13" fillId="2" borderId="10" applyNumberFormat="0" applyFont="1" applyFill="1" applyBorder="1" applyAlignment="1" applyProtection="0">
      <alignment horizontal="center" vertical="center"/>
    </xf>
    <xf numFmtId="49" fontId="0" fillId="2" borderId="10" applyNumberFormat="1" applyFont="1" applyFill="1" applyBorder="1" applyAlignment="1" applyProtection="0">
      <alignment vertical="center"/>
    </xf>
    <xf numFmtId="49" fontId="18" fillId="2" borderId="10" applyNumberFormat="1" applyFont="1" applyFill="1" applyBorder="1" applyAlignment="1" applyProtection="0">
      <alignment horizontal="center" vertical="center"/>
    </xf>
    <xf numFmtId="49" fontId="19" fillId="2" borderId="10" applyNumberFormat="1" applyFont="1" applyFill="1" applyBorder="1" applyAlignment="1" applyProtection="0">
      <alignment horizontal="center" vertical="center"/>
    </xf>
    <xf numFmtId="49" fontId="0" fillId="2" borderId="24" applyNumberFormat="1" applyFont="1" applyFill="1" applyBorder="1" applyAlignment="1" applyProtection="0">
      <alignment vertical="center"/>
    </xf>
    <xf numFmtId="0" fontId="0" fillId="2" borderId="6" applyNumberFormat="1" applyFont="1" applyFill="1" applyBorder="1" applyAlignment="1" applyProtection="0">
      <alignment vertical="center"/>
    </xf>
    <xf numFmtId="0" fontId="0" fillId="2" borderId="5" applyNumberFormat="1" applyFont="1" applyFill="1" applyBorder="1" applyAlignment="1" applyProtection="0">
      <alignment vertical="center"/>
    </xf>
    <xf numFmtId="0" fontId="0" fillId="2" borderId="16" applyNumberFormat="1" applyFont="1" applyFill="1" applyBorder="1" applyAlignment="1" applyProtection="0">
      <alignment vertical="center"/>
    </xf>
    <xf numFmtId="49" fontId="13" fillId="2" borderId="35" applyNumberFormat="1" applyFont="1" applyFill="1" applyBorder="1" applyAlignment="1" applyProtection="0">
      <alignment horizontal="center" vertical="center"/>
    </xf>
    <xf numFmtId="0" fontId="13" fillId="2" borderId="36" applyNumberFormat="0" applyFont="1" applyFill="1" applyBorder="1" applyAlignment="1" applyProtection="0">
      <alignment horizontal="center" vertical="center"/>
    </xf>
    <xf numFmtId="0" fontId="13" fillId="2" borderId="37" applyNumberFormat="0" applyFont="1" applyFill="1" applyBorder="1" applyAlignment="1" applyProtection="0">
      <alignment horizontal="center" vertical="center"/>
    </xf>
    <xf numFmtId="0" fontId="13" fillId="2" borderId="27" applyNumberFormat="0" applyFont="1" applyFill="1" applyBorder="1" applyAlignment="1" applyProtection="0">
      <alignment horizontal="center" vertical="center"/>
    </xf>
    <xf numFmtId="0" fontId="13" fillId="2" borderId="41" applyNumberFormat="0" applyFont="1" applyFill="1" applyBorder="1" applyAlignment="1" applyProtection="0">
      <alignment horizontal="center" vertical="center"/>
    </xf>
    <xf numFmtId="0" fontId="13" fillId="2" borderId="39" applyNumberFormat="0" applyFont="1" applyFill="1" applyBorder="1" applyAlignment="1" applyProtection="0">
      <alignment horizontal="center" vertical="center"/>
    </xf>
    <xf numFmtId="60" fontId="0" fillId="2" borderId="10" applyNumberFormat="1" applyFont="1" applyFill="1" applyBorder="1" applyAlignment="1" applyProtection="0">
      <alignment vertical="center"/>
    </xf>
    <xf numFmtId="0" fontId="0" fillId="2" borderId="42" applyNumberFormat="0" applyFont="1" applyFill="1" applyBorder="1" applyAlignment="1" applyProtection="0">
      <alignment vertical="center"/>
    </xf>
    <xf numFmtId="0" fontId="16" fillId="2" borderId="4" applyNumberFormat="0" applyFont="1" applyFill="1" applyBorder="1" applyAlignment="1" applyProtection="0">
      <alignment horizontal="center" vertical="center"/>
    </xf>
    <xf numFmtId="60" fontId="0" fillId="2" borderId="5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18" fillId="2" borderId="10" applyNumberFormat="0" applyFont="1" applyFill="1" applyBorder="1" applyAlignment="1" applyProtection="0">
      <alignment horizontal="center" vertical="center"/>
    </xf>
    <xf numFmtId="0" fontId="18" fillId="2" borderId="10" applyNumberFormat="1" applyFont="1" applyFill="1" applyBorder="1" applyAlignment="1" applyProtection="0">
      <alignment horizontal="center" vertical="center"/>
    </xf>
    <xf numFmtId="49" fontId="18" fillId="2" borderId="25" applyNumberFormat="1" applyFont="1" applyFill="1" applyBorder="1" applyAlignment="1" applyProtection="0">
      <alignment horizontal="center" vertical="center"/>
    </xf>
    <xf numFmtId="49" fontId="18" fillId="2" borderId="26" applyNumberFormat="1" applyFont="1" applyFill="1" applyBorder="1" applyAlignment="1" applyProtection="0">
      <alignment horizontal="center" vertical="center"/>
    </xf>
    <xf numFmtId="0" fontId="18" fillId="2" borderId="26" applyNumberFormat="1" applyFont="1" applyFill="1" applyBorder="1" applyAlignment="1" applyProtection="0">
      <alignment horizontal="center" vertical="center"/>
    </xf>
    <xf numFmtId="0" fontId="18" fillId="2" borderId="26" applyNumberFormat="0" applyFont="1" applyFill="1" applyBorder="1" applyAlignment="1" applyProtection="0">
      <alignment horizontal="center" vertical="center"/>
    </xf>
    <xf numFmtId="49" fontId="18" fillId="2" borderId="47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49" fontId="20" fillId="2" borderId="48" applyNumberFormat="1" applyFont="1" applyFill="1" applyBorder="1" applyAlignment="1" applyProtection="0">
      <alignment horizontal="center" vertical="center"/>
    </xf>
    <xf numFmtId="0" fontId="20" fillId="2" borderId="49" applyNumberFormat="0" applyFont="1" applyFill="1" applyBorder="1" applyAlignment="1" applyProtection="0">
      <alignment horizontal="center" vertical="center"/>
    </xf>
    <xf numFmtId="0" fontId="20" fillId="2" borderId="50" applyNumberFormat="0" applyFont="1" applyFill="1" applyBorder="1" applyAlignment="1" applyProtection="0">
      <alignment horizontal="center" vertical="center"/>
    </xf>
    <xf numFmtId="49" fontId="10" fillId="5" borderId="51" applyNumberFormat="1" applyFont="1" applyFill="1" applyBorder="1" applyAlignment="1" applyProtection="0">
      <alignment horizontal="center" vertical="center"/>
    </xf>
    <xf numFmtId="49" fontId="10" fillId="7" borderId="52" applyNumberFormat="1" applyFont="1" applyFill="1" applyBorder="1" applyAlignment="1" applyProtection="0">
      <alignment horizontal="center" vertical="center"/>
    </xf>
    <xf numFmtId="49" fontId="0" fillId="2" borderId="53" applyNumberFormat="1" applyFont="1" applyFill="1" applyBorder="1" applyAlignment="1" applyProtection="0">
      <alignment horizontal="center" vertical="center"/>
    </xf>
    <xf numFmtId="0" fontId="0" fillId="2" borderId="54" applyNumberFormat="1" applyFont="1" applyFill="1" applyBorder="1" applyAlignment="1" applyProtection="0">
      <alignment horizontal="center" vertical="center"/>
    </xf>
    <xf numFmtId="49" fontId="0" fillId="2" borderId="54" applyNumberFormat="1" applyFont="1" applyFill="1" applyBorder="1" applyAlignment="1" applyProtection="0">
      <alignment horizontal="center" vertical="center"/>
    </xf>
    <xf numFmtId="0" fontId="0" fillId="2" borderId="54" applyNumberFormat="0" applyFont="1" applyFill="1" applyBorder="1" applyAlignment="1" applyProtection="0">
      <alignment horizontal="center" vertical="center"/>
    </xf>
    <xf numFmtId="49" fontId="10" fillId="7" borderId="55" applyNumberFormat="1" applyFont="1" applyFill="1" applyBorder="1" applyAlignment="1" applyProtection="0">
      <alignment horizontal="center" vertical="center"/>
    </xf>
    <xf numFmtId="49" fontId="0" fillId="2" borderId="56" applyNumberFormat="1" applyFont="1" applyFill="1" applyBorder="1" applyAlignment="1" applyProtection="0">
      <alignment horizontal="center" vertical="center"/>
    </xf>
    <xf numFmtId="49" fontId="0" fillId="2" borderId="57" applyNumberFormat="1" applyFont="1" applyFill="1" applyBorder="1" applyAlignment="1" applyProtection="0">
      <alignment horizontal="center" vertical="center"/>
    </xf>
    <xf numFmtId="0" fontId="0" fillId="2" borderId="57" applyNumberFormat="0" applyFont="1" applyFill="1" applyBorder="1" applyAlignment="1" applyProtection="0">
      <alignment horizontal="center" vertical="center"/>
    </xf>
    <xf numFmtId="0" fontId="0" fillId="2" borderId="57" applyNumberFormat="1" applyFont="1" applyFill="1" applyBorder="1" applyAlignment="1" applyProtection="0">
      <alignment horizontal="center" vertical="center"/>
    </xf>
    <xf numFmtId="3" fontId="0" fillId="2" borderId="56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0" fillId="2" borderId="58" applyNumberFormat="0" applyFont="1" applyFill="1" applyBorder="1" applyAlignment="1" applyProtection="0">
      <alignment vertical="center"/>
    </xf>
    <xf numFmtId="0" fontId="0" fillId="2" borderId="59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10" fillId="7" borderId="55" applyNumberFormat="0" applyFont="1" applyFill="1" applyBorder="1" applyAlignment="1" applyProtection="0">
      <alignment horizontal="center" vertical="center"/>
    </xf>
    <xf numFmtId="0" fontId="0" fillId="2" borderId="56" applyNumberFormat="0" applyFont="1" applyFill="1" applyBorder="1" applyAlignment="1" applyProtection="0">
      <alignment horizontal="center" vertical="center"/>
    </xf>
    <xf numFmtId="0" fontId="0" fillId="2" borderId="60" applyNumberFormat="0" applyFont="1" applyFill="1" applyBorder="1" applyAlignment="1" applyProtection="0">
      <alignment vertical="center"/>
    </xf>
    <xf numFmtId="0" fontId="0" fillId="2" borderId="61" applyNumberFormat="0" applyFont="1" applyFill="1" applyBorder="1" applyAlignment="1" applyProtection="0">
      <alignment vertical="center"/>
    </xf>
    <xf numFmtId="0" fontId="0" fillId="2" borderId="62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10" fillId="7" borderId="52" applyNumberFormat="0" applyFont="1" applyFill="1" applyBorder="1" applyAlignment="1" applyProtection="0">
      <alignment horizontal="center" vertical="center"/>
    </xf>
    <xf numFmtId="0" fontId="0" fillId="2" borderId="53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49" fontId="10" fillId="5" borderId="63" applyNumberFormat="1" applyFont="1" applyFill="1" applyBorder="1" applyAlignment="1" applyProtection="0">
      <alignment horizontal="center" vertical="center"/>
    </xf>
    <xf numFmtId="49" fontId="10" fillId="7" borderId="64" applyNumberFormat="1" applyFont="1" applyFill="1" applyBorder="1" applyAlignment="1" applyProtection="0">
      <alignment horizontal="center" vertical="center"/>
    </xf>
    <xf numFmtId="49" fontId="0" fillId="2" borderId="65" applyNumberFormat="1" applyFont="1" applyFill="1" applyBorder="1" applyAlignment="1" applyProtection="0">
      <alignment horizontal="center" vertical="center"/>
    </xf>
    <xf numFmtId="61" fontId="0" fillId="2" borderId="54" applyNumberFormat="1" applyFont="1" applyFill="1" applyBorder="1" applyAlignment="1" applyProtection="0">
      <alignment horizontal="center" vertical="center"/>
    </xf>
    <xf numFmtId="49" fontId="10" fillId="7" borderId="66" applyNumberFormat="1" applyFont="1" applyFill="1" applyBorder="1" applyAlignment="1" applyProtection="0">
      <alignment horizontal="center" vertical="center"/>
    </xf>
    <xf numFmtId="49" fontId="0" fillId="2" borderId="67" applyNumberFormat="1" applyFont="1" applyFill="1" applyBorder="1" applyAlignment="1" applyProtection="0">
      <alignment horizontal="center" vertical="center"/>
    </xf>
    <xf numFmtId="61" fontId="0" fillId="2" borderId="57" applyNumberFormat="1" applyFont="1" applyFill="1" applyBorder="1" applyAlignment="1" applyProtection="0">
      <alignment horizontal="center" vertical="center"/>
    </xf>
    <xf numFmtId="0" fontId="10" fillId="7" borderId="66" applyNumberFormat="0" applyFont="1" applyFill="1" applyBorder="1" applyAlignment="1" applyProtection="0">
      <alignment horizontal="center" vertical="center"/>
    </xf>
    <xf numFmtId="0" fontId="16" fillId="2" borderId="10" applyNumberFormat="0" applyFont="1" applyFill="1" applyBorder="1" applyAlignment="1" applyProtection="0">
      <alignment horizontal="center" vertical="center"/>
    </xf>
    <xf numFmtId="0" fontId="0" fillId="2" borderId="67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1a1b1d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9</xdr:col>
      <xdr:colOff>367948</xdr:colOff>
      <xdr:row>39</xdr:row>
      <xdr:rowOff>23745</xdr:rowOff>
    </xdr:from>
    <xdr:to>
      <xdr:col>10</xdr:col>
      <xdr:colOff>918764</xdr:colOff>
      <xdr:row>40</xdr:row>
      <xdr:rowOff>213134</xdr:rowOff>
    </xdr:to>
    <xdr:pic>
      <xdr:nvPicPr>
        <xdr:cNvPr id="2" name="잉크 1" descr="잉크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9740548" y="12853920"/>
          <a:ext cx="1592217" cy="4370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9"/>
  <sheetViews>
    <sheetView workbookViewId="0" showGridLines="0" defaultGridColor="1"/>
  </sheetViews>
  <sheetFormatPr defaultColWidth="10" defaultRowHeight="13" customHeight="1" outlineLevelRow="0" outlineLevelCol="0"/>
  <cols>
    <col min="1" max="1" width="2" style="1" customWidth="1"/>
    <col min="2" max="4" width="30.5" style="1" customWidth="1"/>
    <col min="5" max="5" width="10" style="1" customWidth="1"/>
    <col min="6" max="16384" width="10" style="1" customWidth="1"/>
  </cols>
  <sheetData>
    <row r="1" ht="16" customHeight="1">
      <c r="A1" s="2"/>
      <c r="B1" s="3"/>
      <c r="C1" s="3"/>
      <c r="D1" s="3"/>
      <c r="E1" s="4"/>
    </row>
    <row r="2" ht="16" customHeight="1">
      <c r="A2" s="5"/>
      <c r="B2" s="6"/>
      <c r="C2" s="6"/>
      <c r="D2" s="6"/>
      <c r="E2" s="7"/>
    </row>
    <row r="3" ht="50" customHeight="1">
      <c r="A3" s="5"/>
      <c r="B3" t="s" s="8">
        <v>0</v>
      </c>
      <c r="C3" s="6"/>
      <c r="D3" s="6"/>
      <c r="E3" s="7"/>
    </row>
    <row r="4" ht="16" customHeight="1">
      <c r="A4" s="5"/>
      <c r="B4" s="6"/>
      <c r="C4" s="6"/>
      <c r="D4" s="6"/>
      <c r="E4" s="7"/>
    </row>
    <row r="5" ht="16" customHeight="1">
      <c r="A5" s="5"/>
      <c r="B5" s="6"/>
      <c r="C5" s="6"/>
      <c r="D5" s="6"/>
      <c r="E5" s="7"/>
    </row>
    <row r="6" ht="16" customHeight="1">
      <c r="A6" s="5"/>
      <c r="B6" s="6"/>
      <c r="C6" s="6"/>
      <c r="D6" s="6"/>
      <c r="E6" s="7"/>
    </row>
    <row r="7" ht="20" customHeight="1">
      <c r="A7" s="5"/>
      <c r="B7" t="s" s="9">
        <v>1</v>
      </c>
      <c r="C7" t="s" s="9">
        <v>2</v>
      </c>
      <c r="D7" t="s" s="9">
        <v>3</v>
      </c>
      <c r="E7" s="7"/>
    </row>
    <row r="8" ht="16" customHeight="1">
      <c r="A8" s="5"/>
      <c r="B8" s="6"/>
      <c r="C8" s="6"/>
      <c r="D8" s="6"/>
      <c r="E8" s="7"/>
    </row>
    <row r="9" ht="17" customHeight="1">
      <c r="A9" s="5"/>
      <c r="B9" t="s" s="10">
        <v>4</v>
      </c>
      <c r="C9" s="11"/>
      <c r="D9" s="11"/>
      <c r="E9" s="7"/>
    </row>
    <row r="10" ht="18.3" customHeight="1">
      <c r="A10" s="5"/>
      <c r="B10" s="12"/>
      <c r="C10" t="s" s="13">
        <v>5</v>
      </c>
      <c r="D10" t="s" s="14">
        <v>6</v>
      </c>
      <c r="E10" s="7"/>
    </row>
    <row r="11" ht="17" customHeight="1">
      <c r="A11" s="5"/>
      <c r="B11" t="s" s="10">
        <v>7</v>
      </c>
      <c r="C11" s="11"/>
      <c r="D11" s="11"/>
      <c r="E11" s="7"/>
    </row>
    <row r="12" ht="18.3" customHeight="1">
      <c r="A12" s="5"/>
      <c r="B12" s="12"/>
      <c r="C12" t="s" s="13">
        <v>5</v>
      </c>
      <c r="D12" t="s" s="14">
        <v>8</v>
      </c>
      <c r="E12" s="7"/>
    </row>
    <row r="13" ht="17" customHeight="1">
      <c r="A13" s="5"/>
      <c r="B13" t="s" s="10">
        <v>9</v>
      </c>
      <c r="C13" s="11"/>
      <c r="D13" s="11"/>
      <c r="E13" s="7"/>
    </row>
    <row r="14" ht="18.3" customHeight="1">
      <c r="A14" s="5"/>
      <c r="B14" s="12"/>
      <c r="C14" t="s" s="13">
        <v>5</v>
      </c>
      <c r="D14" t="s" s="14">
        <v>10</v>
      </c>
      <c r="E14" s="7"/>
    </row>
    <row r="15" ht="17" customHeight="1">
      <c r="A15" s="5"/>
      <c r="B15" t="s" s="10">
        <v>11</v>
      </c>
      <c r="C15" s="11"/>
      <c r="D15" s="11"/>
      <c r="E15" s="7"/>
    </row>
    <row r="16" ht="18.3" customHeight="1">
      <c r="A16" s="5"/>
      <c r="B16" s="12"/>
      <c r="C16" t="s" s="13">
        <v>5</v>
      </c>
      <c r="D16" t="s" s="14">
        <v>12</v>
      </c>
      <c r="E16" s="7"/>
    </row>
    <row r="17" ht="17" customHeight="1">
      <c r="A17" s="5"/>
      <c r="B17" t="s" s="10">
        <v>13</v>
      </c>
      <c r="C17" s="11"/>
      <c r="D17" s="11"/>
      <c r="E17" s="7"/>
    </row>
    <row r="18" ht="18.3" customHeight="1">
      <c r="A18" s="5"/>
      <c r="B18" s="12"/>
      <c r="C18" t="s" s="13">
        <v>5</v>
      </c>
      <c r="D18" t="s" s="14">
        <v>14</v>
      </c>
      <c r="E18" s="7"/>
    </row>
    <row r="19" ht="17" customHeight="1">
      <c r="A19" s="5"/>
      <c r="B19" t="s" s="10">
        <v>15</v>
      </c>
      <c r="C19" s="11"/>
      <c r="D19" s="11"/>
      <c r="E19" s="7"/>
    </row>
    <row r="20" ht="18.3" customHeight="1">
      <c r="A20" s="5"/>
      <c r="B20" s="12"/>
      <c r="C20" t="s" s="13">
        <v>5</v>
      </c>
      <c r="D20" t="s" s="14">
        <v>16</v>
      </c>
      <c r="E20" s="7"/>
    </row>
    <row r="21" ht="17" customHeight="1">
      <c r="A21" s="5"/>
      <c r="B21" t="s" s="10">
        <v>17</v>
      </c>
      <c r="C21" s="11"/>
      <c r="D21" s="11"/>
      <c r="E21" s="7"/>
    </row>
    <row r="22" ht="18.3" customHeight="1">
      <c r="A22" s="5"/>
      <c r="B22" s="12"/>
      <c r="C22" t="s" s="13">
        <v>5</v>
      </c>
      <c r="D22" t="s" s="14">
        <v>18</v>
      </c>
      <c r="E22" s="7"/>
    </row>
    <row r="23" ht="17" customHeight="1">
      <c r="A23" s="5"/>
      <c r="B23" t="s" s="10">
        <v>19</v>
      </c>
      <c r="C23" s="11"/>
      <c r="D23" s="11"/>
      <c r="E23" s="7"/>
    </row>
    <row r="24" ht="18.3" customHeight="1">
      <c r="A24" s="5"/>
      <c r="B24" s="12"/>
      <c r="C24" t="s" s="13">
        <v>20</v>
      </c>
      <c r="D24" t="s" s="14">
        <v>21</v>
      </c>
      <c r="E24" s="7"/>
    </row>
    <row r="25" ht="18.3" customHeight="1">
      <c r="A25" s="5"/>
      <c r="B25" s="12"/>
      <c r="C25" t="s" s="13">
        <v>22</v>
      </c>
      <c r="D25" t="s" s="14">
        <v>23</v>
      </c>
      <c r="E25" s="7"/>
    </row>
    <row r="26" ht="18.3" customHeight="1">
      <c r="A26" s="5"/>
      <c r="B26" s="12"/>
      <c r="C26" t="s" s="13">
        <v>24</v>
      </c>
      <c r="D26" t="s" s="14">
        <v>25</v>
      </c>
      <c r="E26" s="7"/>
    </row>
    <row r="27" ht="18.3" customHeight="1">
      <c r="A27" s="5"/>
      <c r="B27" s="12"/>
      <c r="C27" t="s" s="13">
        <v>26</v>
      </c>
      <c r="D27" t="s" s="14">
        <v>27</v>
      </c>
      <c r="E27" s="7"/>
    </row>
    <row r="28" ht="17" customHeight="1">
      <c r="A28" s="5"/>
      <c r="B28" t="s" s="10">
        <v>28</v>
      </c>
      <c r="C28" s="11"/>
      <c r="D28" s="11"/>
      <c r="E28" s="7"/>
    </row>
    <row r="29" ht="18.3" customHeight="1">
      <c r="A29" s="15"/>
      <c r="B29" s="16"/>
      <c r="C29" t="s" s="17">
        <v>29</v>
      </c>
      <c r="D29" t="s" s="18">
        <v>30</v>
      </c>
      <c r="E29" s="19"/>
    </row>
  </sheetData>
  <mergeCells count="1">
    <mergeCell ref="B3:D3"/>
  </mergeCells>
  <hyperlinks>
    <hyperlink ref="D10" location="'전체일정'!R1C1" tooltip="" display="전체일정"/>
    <hyperlink ref="D12" location="'달일정'!R1C1" tooltip="" display="달일정"/>
    <hyperlink ref="D14" location="'2025년인원편성표'!R1C1" tooltip="" display="2025년인원편성표"/>
    <hyperlink ref="D16" location="'무대음향팀인원표'!R1C1" tooltip="" display="무대음향팀인원표"/>
    <hyperlink ref="D18" location="'2025년 4월최신인원표'!R1C1" tooltip="" display="2025년 4월최신인원표"/>
    <hyperlink ref="D20" location="'2차면접표'!R1C1" tooltip="" display="2차면접표"/>
    <hyperlink ref="D22" location="'3차실무합격표'!R1C1" tooltip="" display="3차실무합격표"/>
    <hyperlink ref="D24" location="'결혼식 - 필요물품(음향)'!R1C1" tooltip="" display="결혼식 - 필요물품(음향)"/>
    <hyperlink ref="D25" location="'결혼식 - 전체행사물품(공용)'!R1C1" tooltip="" display="결혼식 - 전체행사물품(공용)"/>
    <hyperlink ref="D26" location="'결혼식 - 사회자준비물'!R1C1" tooltip="" display="결혼식 - 사회자준비물"/>
    <hyperlink ref="D27" location="'결혼식 - 필요칸'!R1C1" tooltip="" display="결혼식 - 필요칸"/>
    <hyperlink ref="D29" location="'시트 1 - 12_30 무대음향 특별스텝인원편성표'!R1C1" tooltip="" display="시트 1 - 12_30 무대음향 특별스텝인원편성표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1239"/>
  <sheetViews>
    <sheetView workbookViewId="0" showGridLines="0" defaultGridColor="1"/>
  </sheetViews>
  <sheetFormatPr defaultColWidth="8.83333" defaultRowHeight="16.5" customHeight="1" outlineLevelRow="0" outlineLevelCol="0"/>
  <cols>
    <col min="1" max="1" width="4.5" style="20" customWidth="1"/>
    <col min="2" max="2" width="12.6719" style="20" customWidth="1"/>
    <col min="3" max="3" width="10.5" style="20" customWidth="1"/>
    <col min="4" max="4" width="36" style="20" customWidth="1"/>
    <col min="5" max="5" width="20.5" style="20" customWidth="1"/>
    <col min="6" max="6" width="14.6719" style="20" customWidth="1"/>
    <col min="7" max="7" width="18.1719" style="20" customWidth="1"/>
    <col min="8" max="8" width="33.8516" style="20" customWidth="1"/>
    <col min="9" max="9" width="13.5" style="20" customWidth="1"/>
    <col min="10" max="10" width="8.85156" style="20" customWidth="1"/>
    <col min="11" max="16384" width="8.85156" style="20" customWidth="1"/>
  </cols>
  <sheetData>
    <row r="1" ht="16" customHeight="1">
      <c r="A1" t="s" s="21">
        <v>31</v>
      </c>
      <c r="B1" t="s" s="22">
        <v>32</v>
      </c>
      <c r="C1" t="s" s="22">
        <v>33</v>
      </c>
      <c r="D1" t="s" s="22">
        <v>34</v>
      </c>
      <c r="E1" t="s" s="22">
        <v>35</v>
      </c>
      <c r="F1" t="s" s="23">
        <v>36</v>
      </c>
      <c r="G1" t="s" s="21">
        <v>37</v>
      </c>
      <c r="H1" t="s" s="24">
        <v>38</v>
      </c>
      <c r="I1" t="s" s="25">
        <v>39</v>
      </c>
      <c r="J1" s="4"/>
    </row>
    <row r="2" ht="16" customHeight="1">
      <c r="A2" t="s" s="26">
        <v>40</v>
      </c>
      <c r="B2" t="s" s="27">
        <v>41</v>
      </c>
      <c r="C2" t="s" s="27">
        <v>42</v>
      </c>
      <c r="D2" t="s" s="27">
        <v>43</v>
      </c>
      <c r="E2" t="s" s="27">
        <v>44</v>
      </c>
      <c r="F2" t="s" s="27">
        <v>45</v>
      </c>
      <c r="G2" t="s" s="28">
        <v>46</v>
      </c>
      <c r="H2" t="s" s="29">
        <v>47</v>
      </c>
      <c r="I2" s="30"/>
      <c r="J2" s="7"/>
    </row>
    <row r="3" ht="16" customHeight="1">
      <c r="A3" t="s" s="26">
        <v>48</v>
      </c>
      <c r="B3" t="s" s="27">
        <v>41</v>
      </c>
      <c r="C3" t="s" s="27">
        <v>49</v>
      </c>
      <c r="D3" t="s" s="27">
        <v>50</v>
      </c>
      <c r="E3" t="s" s="27">
        <v>51</v>
      </c>
      <c r="F3" t="s" s="27">
        <v>45</v>
      </c>
      <c r="G3" t="s" s="28">
        <v>52</v>
      </c>
      <c r="H3" t="s" s="29">
        <v>47</v>
      </c>
      <c r="I3" s="31"/>
      <c r="J3" s="32"/>
    </row>
    <row r="4" ht="16" customHeight="1">
      <c r="A4" t="s" s="26">
        <v>53</v>
      </c>
      <c r="B4" t="s" s="27">
        <v>41</v>
      </c>
      <c r="C4" t="s" s="27">
        <v>42</v>
      </c>
      <c r="D4" t="s" s="27">
        <v>54</v>
      </c>
      <c r="E4" t="s" s="27">
        <v>55</v>
      </c>
      <c r="F4" t="s" s="27">
        <v>45</v>
      </c>
      <c r="G4" t="s" s="28">
        <v>46</v>
      </c>
      <c r="H4" t="s" s="29">
        <v>47</v>
      </c>
      <c r="I4" s="31"/>
      <c r="J4" s="32"/>
    </row>
    <row r="5" ht="16" customHeight="1">
      <c r="A5" t="s" s="26">
        <v>56</v>
      </c>
      <c r="B5" t="s" s="27">
        <v>41</v>
      </c>
      <c r="C5" t="s" s="27">
        <v>57</v>
      </c>
      <c r="D5" t="s" s="27">
        <v>58</v>
      </c>
      <c r="E5" t="s" s="27">
        <v>59</v>
      </c>
      <c r="F5" t="s" s="27">
        <v>45</v>
      </c>
      <c r="G5" s="33">
        <v>4</v>
      </c>
      <c r="H5" t="s" s="29">
        <v>60</v>
      </c>
      <c r="I5" s="31"/>
      <c r="J5" s="32"/>
    </row>
    <row r="6" ht="16" customHeight="1">
      <c r="A6" t="s" s="26">
        <v>61</v>
      </c>
      <c r="B6" t="s" s="27">
        <v>41</v>
      </c>
      <c r="C6" t="s" s="27">
        <v>42</v>
      </c>
      <c r="D6" t="s" s="27">
        <v>62</v>
      </c>
      <c r="E6" t="s" s="27">
        <v>63</v>
      </c>
      <c r="F6" t="s" s="27">
        <v>45</v>
      </c>
      <c r="G6" s="33">
        <v>4</v>
      </c>
      <c r="H6" t="s" s="29">
        <v>60</v>
      </c>
      <c r="I6" s="31"/>
      <c r="J6" s="32"/>
    </row>
    <row r="7" ht="16" customHeight="1">
      <c r="A7" t="s" s="26">
        <v>64</v>
      </c>
      <c r="B7" t="s" s="27">
        <v>41</v>
      </c>
      <c r="C7" t="s" s="27">
        <v>42</v>
      </c>
      <c r="D7" t="s" s="27">
        <v>65</v>
      </c>
      <c r="E7" t="s" s="27">
        <v>66</v>
      </c>
      <c r="F7" t="s" s="27">
        <v>45</v>
      </c>
      <c r="G7" t="s" s="28">
        <v>67</v>
      </c>
      <c r="H7" t="s" s="29">
        <v>60</v>
      </c>
      <c r="I7" s="31"/>
      <c r="J7" s="32"/>
    </row>
    <row r="8" ht="24" customHeight="1">
      <c r="A8" t="s" s="26">
        <v>68</v>
      </c>
      <c r="B8" t="s" s="27">
        <v>41</v>
      </c>
      <c r="C8" t="s" s="27">
        <v>49</v>
      </c>
      <c r="D8" t="s" s="27">
        <v>69</v>
      </c>
      <c r="E8" t="s" s="27">
        <v>70</v>
      </c>
      <c r="F8" t="s" s="27">
        <v>45</v>
      </c>
      <c r="G8" s="33">
        <v>5</v>
      </c>
      <c r="H8" t="s" s="29">
        <v>71</v>
      </c>
      <c r="I8" s="31"/>
      <c r="J8" s="32"/>
    </row>
    <row r="9" ht="16" customHeight="1">
      <c r="A9" t="s" s="26">
        <v>72</v>
      </c>
      <c r="B9" t="s" s="27">
        <v>41</v>
      </c>
      <c r="C9" t="s" s="27">
        <v>73</v>
      </c>
      <c r="D9" t="s" s="27">
        <v>74</v>
      </c>
      <c r="E9" t="s" s="27">
        <v>75</v>
      </c>
      <c r="F9" t="s" s="27">
        <v>45</v>
      </c>
      <c r="G9" s="33">
        <v>3</v>
      </c>
      <c r="H9" s="34"/>
      <c r="I9" s="31"/>
      <c r="J9" s="32"/>
    </row>
    <row r="10" ht="16" customHeight="1">
      <c r="A10" t="s" s="26">
        <v>76</v>
      </c>
      <c r="B10" t="s" s="27">
        <v>41</v>
      </c>
      <c r="C10" t="s" s="27">
        <v>42</v>
      </c>
      <c r="D10" t="s" s="27">
        <v>77</v>
      </c>
      <c r="E10" t="s" s="27">
        <v>78</v>
      </c>
      <c r="F10" t="s" s="27">
        <v>45</v>
      </c>
      <c r="G10" s="33">
        <v>3</v>
      </c>
      <c r="H10" s="34"/>
      <c r="I10" s="31"/>
      <c r="J10" s="32"/>
    </row>
    <row r="11" ht="16" customHeight="1">
      <c r="A11" t="s" s="26">
        <v>79</v>
      </c>
      <c r="B11" t="s" s="27">
        <v>41</v>
      </c>
      <c r="C11" t="s" s="27">
        <v>49</v>
      </c>
      <c r="D11" t="s" s="27">
        <v>80</v>
      </c>
      <c r="E11" t="s" s="27">
        <v>81</v>
      </c>
      <c r="F11" t="s" s="27">
        <v>45</v>
      </c>
      <c r="G11" s="33">
        <v>4</v>
      </c>
      <c r="H11" s="34"/>
      <c r="I11" s="31"/>
      <c r="J11" s="32"/>
    </row>
    <row r="12" ht="24" customHeight="1">
      <c r="A12" t="s" s="26">
        <v>82</v>
      </c>
      <c r="B12" t="s" s="27">
        <v>41</v>
      </c>
      <c r="C12" s="35"/>
      <c r="D12" t="s" s="27">
        <v>83</v>
      </c>
      <c r="E12" t="s" s="27">
        <v>84</v>
      </c>
      <c r="F12" t="s" s="27">
        <v>45</v>
      </c>
      <c r="G12" s="33">
        <v>3</v>
      </c>
      <c r="H12" s="34"/>
      <c r="I12" s="31"/>
      <c r="J12" s="32"/>
    </row>
    <row r="13" ht="16" customHeight="1">
      <c r="A13" t="s" s="26">
        <v>85</v>
      </c>
      <c r="B13" t="s" s="27">
        <v>41</v>
      </c>
      <c r="C13" t="s" s="27">
        <v>42</v>
      </c>
      <c r="D13" t="s" s="27">
        <v>86</v>
      </c>
      <c r="E13" t="s" s="27">
        <v>87</v>
      </c>
      <c r="F13" t="s" s="27">
        <v>45</v>
      </c>
      <c r="G13" s="33">
        <v>5</v>
      </c>
      <c r="H13" t="s" s="29">
        <v>88</v>
      </c>
      <c r="I13" s="31"/>
      <c r="J13" s="32"/>
    </row>
    <row r="14" ht="16" customHeight="1">
      <c r="A14" t="s" s="26">
        <v>89</v>
      </c>
      <c r="B14" t="s" s="27">
        <v>41</v>
      </c>
      <c r="C14" s="35"/>
      <c r="D14" t="s" s="27">
        <v>90</v>
      </c>
      <c r="E14" t="s" s="27">
        <v>91</v>
      </c>
      <c r="F14" t="s" s="27">
        <v>45</v>
      </c>
      <c r="G14" s="33">
        <v>5</v>
      </c>
      <c r="H14" s="34"/>
      <c r="I14" s="31"/>
      <c r="J14" s="32"/>
    </row>
    <row r="15" ht="16" customHeight="1">
      <c r="A15" t="s" s="26">
        <v>92</v>
      </c>
      <c r="B15" t="s" s="27">
        <v>41</v>
      </c>
      <c r="C15" t="s" s="27">
        <v>57</v>
      </c>
      <c r="D15" t="s" s="27">
        <v>93</v>
      </c>
      <c r="E15" t="s" s="27">
        <v>94</v>
      </c>
      <c r="F15" t="s" s="27">
        <v>45</v>
      </c>
      <c r="G15" s="33">
        <v>5</v>
      </c>
      <c r="H15" s="34"/>
      <c r="I15" s="31"/>
      <c r="J15" s="32"/>
    </row>
    <row r="16" ht="16" customHeight="1">
      <c r="A16" t="s" s="26">
        <v>95</v>
      </c>
      <c r="B16" t="s" s="27">
        <v>41</v>
      </c>
      <c r="C16" t="s" s="27">
        <v>42</v>
      </c>
      <c r="D16" t="s" s="27">
        <v>96</v>
      </c>
      <c r="E16" t="s" s="27">
        <v>97</v>
      </c>
      <c r="F16" t="s" s="27">
        <v>45</v>
      </c>
      <c r="G16" s="33">
        <v>4</v>
      </c>
      <c r="H16" s="36"/>
      <c r="I16" s="31"/>
      <c r="J16" s="32"/>
    </row>
    <row r="17" ht="16" customHeight="1">
      <c r="A17" t="s" s="26">
        <v>98</v>
      </c>
      <c r="B17" t="s" s="27">
        <v>41</v>
      </c>
      <c r="C17" t="s" s="27">
        <v>42</v>
      </c>
      <c r="D17" t="s" s="27">
        <v>99</v>
      </c>
      <c r="E17" t="s" s="27">
        <v>100</v>
      </c>
      <c r="F17" t="s" s="27">
        <v>45</v>
      </c>
      <c r="G17" s="33">
        <v>4</v>
      </c>
      <c r="H17" s="34"/>
      <c r="I17" s="31"/>
      <c r="J17" s="32"/>
    </row>
    <row r="18" ht="16" customHeight="1">
      <c r="A18" t="s" s="26">
        <v>101</v>
      </c>
      <c r="B18" t="s" s="27">
        <v>41</v>
      </c>
      <c r="C18" t="s" s="27">
        <v>49</v>
      </c>
      <c r="D18" t="s" s="27">
        <v>102</v>
      </c>
      <c r="E18" t="s" s="27">
        <v>103</v>
      </c>
      <c r="F18" t="s" s="27">
        <v>45</v>
      </c>
      <c r="G18" s="33">
        <v>3</v>
      </c>
      <c r="H18" s="34"/>
      <c r="I18" s="31"/>
      <c r="J18" s="32"/>
    </row>
    <row r="19" ht="16" customHeight="1">
      <c r="A19" t="s" s="26">
        <v>104</v>
      </c>
      <c r="B19" t="s" s="27">
        <v>41</v>
      </c>
      <c r="C19" t="s" s="27">
        <v>42</v>
      </c>
      <c r="D19" t="s" s="27">
        <v>105</v>
      </c>
      <c r="E19" t="s" s="27">
        <v>106</v>
      </c>
      <c r="F19" t="s" s="27">
        <v>45</v>
      </c>
      <c r="G19" s="33">
        <v>4</v>
      </c>
      <c r="H19" s="34"/>
      <c r="I19" s="31"/>
      <c r="J19" s="32"/>
    </row>
    <row r="20" ht="24" customHeight="1">
      <c r="A20" t="s" s="26">
        <v>107</v>
      </c>
      <c r="B20" t="s" s="27">
        <v>41</v>
      </c>
      <c r="C20" t="s" s="27">
        <v>42</v>
      </c>
      <c r="D20" t="s" s="27">
        <v>108</v>
      </c>
      <c r="E20" t="s" s="27">
        <v>109</v>
      </c>
      <c r="F20" t="s" s="27">
        <v>45</v>
      </c>
      <c r="G20" t="s" s="28">
        <v>110</v>
      </c>
      <c r="H20" s="34"/>
      <c r="I20" s="31"/>
      <c r="J20" s="32"/>
    </row>
    <row r="21" ht="16" customHeight="1">
      <c r="A21" t="s" s="26">
        <v>111</v>
      </c>
      <c r="B21" t="s" s="27">
        <v>41</v>
      </c>
      <c r="C21" t="s" s="27">
        <v>42</v>
      </c>
      <c r="D21" t="s" s="27">
        <v>112</v>
      </c>
      <c r="E21" t="s" s="27">
        <v>113</v>
      </c>
      <c r="F21" t="s" s="27">
        <v>45</v>
      </c>
      <c r="G21" s="33">
        <v>3</v>
      </c>
      <c r="H21" s="34"/>
      <c r="I21" s="31"/>
      <c r="J21" s="32"/>
    </row>
    <row r="22" ht="16" customHeight="1">
      <c r="A22" t="s" s="26">
        <v>114</v>
      </c>
      <c r="B22" t="s" s="27">
        <v>41</v>
      </c>
      <c r="C22" t="s" s="27">
        <v>42</v>
      </c>
      <c r="D22" t="s" s="27">
        <v>115</v>
      </c>
      <c r="E22" t="s" s="27">
        <v>116</v>
      </c>
      <c r="F22" t="s" s="27">
        <v>45</v>
      </c>
      <c r="G22" t="s" s="28">
        <v>46</v>
      </c>
      <c r="H22" s="34"/>
      <c r="I22" s="31"/>
      <c r="J22" s="32"/>
    </row>
    <row r="23" ht="16" customHeight="1">
      <c r="A23" t="s" s="26">
        <v>117</v>
      </c>
      <c r="B23" t="s" s="27">
        <v>41</v>
      </c>
      <c r="C23" t="s" s="27">
        <v>49</v>
      </c>
      <c r="D23" t="s" s="27">
        <v>118</v>
      </c>
      <c r="E23" t="s" s="27">
        <v>119</v>
      </c>
      <c r="F23" t="s" s="27">
        <v>45</v>
      </c>
      <c r="G23" s="33">
        <v>3</v>
      </c>
      <c r="H23" s="34"/>
      <c r="I23" s="31"/>
      <c r="J23" s="32"/>
    </row>
    <row r="24" ht="24" customHeight="1">
      <c r="A24" t="s" s="26">
        <v>120</v>
      </c>
      <c r="B24" t="s" s="27">
        <v>41</v>
      </c>
      <c r="C24" t="s" s="27">
        <v>73</v>
      </c>
      <c r="D24" t="s" s="27">
        <v>121</v>
      </c>
      <c r="E24" t="s" s="27">
        <v>122</v>
      </c>
      <c r="F24" t="s" s="27">
        <v>45</v>
      </c>
      <c r="G24" s="33">
        <v>1</v>
      </c>
      <c r="H24" s="34"/>
      <c r="I24" s="31"/>
      <c r="J24" s="32"/>
    </row>
    <row r="25" ht="16" customHeight="1">
      <c r="A25" t="s" s="26">
        <v>123</v>
      </c>
      <c r="B25" t="s" s="27">
        <v>41</v>
      </c>
      <c r="C25" s="35"/>
      <c r="D25" t="s" s="27">
        <v>124</v>
      </c>
      <c r="E25" t="s" s="27">
        <v>125</v>
      </c>
      <c r="F25" t="s" s="27">
        <v>45</v>
      </c>
      <c r="G25" s="33">
        <v>3</v>
      </c>
      <c r="H25" s="34"/>
      <c r="I25" s="31"/>
      <c r="J25" s="32"/>
    </row>
    <row r="26" ht="16" customHeight="1">
      <c r="A26" t="s" s="26">
        <v>126</v>
      </c>
      <c r="B26" t="s" s="27">
        <v>41</v>
      </c>
      <c r="C26" t="s" s="27">
        <v>57</v>
      </c>
      <c r="D26" t="s" s="27">
        <v>127</v>
      </c>
      <c r="E26" t="s" s="27">
        <v>128</v>
      </c>
      <c r="F26" t="s" s="27">
        <v>45</v>
      </c>
      <c r="G26" s="33">
        <v>6</v>
      </c>
      <c r="H26" s="34"/>
      <c r="I26" s="31"/>
      <c r="J26" s="32"/>
    </row>
    <row r="27" ht="16" customHeight="1">
      <c r="A27" t="s" s="26">
        <v>129</v>
      </c>
      <c r="B27" t="s" s="27">
        <v>41</v>
      </c>
      <c r="C27" t="s" s="27">
        <v>42</v>
      </c>
      <c r="D27" t="s" s="27">
        <v>130</v>
      </c>
      <c r="E27" t="s" s="27">
        <v>131</v>
      </c>
      <c r="F27" t="s" s="27">
        <v>45</v>
      </c>
      <c r="G27" s="33">
        <v>6</v>
      </c>
      <c r="H27" s="34"/>
      <c r="I27" s="31"/>
      <c r="J27" s="32"/>
    </row>
    <row r="28" ht="16" customHeight="1">
      <c r="A28" t="s" s="26">
        <v>132</v>
      </c>
      <c r="B28" t="s" s="27">
        <v>41</v>
      </c>
      <c r="C28" t="s" s="27">
        <v>42</v>
      </c>
      <c r="D28" t="s" s="27">
        <v>133</v>
      </c>
      <c r="E28" t="s" s="27">
        <v>134</v>
      </c>
      <c r="F28" t="s" s="27">
        <v>45</v>
      </c>
      <c r="G28" s="33">
        <v>6</v>
      </c>
      <c r="H28" s="34"/>
      <c r="I28" s="31"/>
      <c r="J28" s="32"/>
    </row>
    <row r="29" ht="16" customHeight="1">
      <c r="A29" t="s" s="26">
        <v>135</v>
      </c>
      <c r="B29" t="s" s="27">
        <v>41</v>
      </c>
      <c r="C29" t="s" s="27">
        <v>57</v>
      </c>
      <c r="D29" t="s" s="27">
        <v>136</v>
      </c>
      <c r="E29" t="s" s="27">
        <v>137</v>
      </c>
      <c r="F29" t="s" s="27">
        <v>45</v>
      </c>
      <c r="G29" s="33">
        <v>5</v>
      </c>
      <c r="H29" s="34"/>
      <c r="I29" s="31"/>
      <c r="J29" s="32"/>
    </row>
    <row r="30" ht="16" customHeight="1">
      <c r="A30" t="s" s="26">
        <v>138</v>
      </c>
      <c r="B30" t="s" s="27">
        <v>41</v>
      </c>
      <c r="C30" t="s" s="27">
        <v>42</v>
      </c>
      <c r="D30" t="s" s="27">
        <v>139</v>
      </c>
      <c r="E30" t="s" s="27">
        <v>140</v>
      </c>
      <c r="F30" t="s" s="27">
        <v>45</v>
      </c>
      <c r="G30" s="33">
        <v>4</v>
      </c>
      <c r="H30" s="34"/>
      <c r="I30" s="31"/>
      <c r="J30" s="32"/>
    </row>
    <row r="31" ht="16" customHeight="1">
      <c r="A31" t="s" s="26">
        <v>141</v>
      </c>
      <c r="B31" t="s" s="27">
        <v>41</v>
      </c>
      <c r="C31" s="35"/>
      <c r="D31" t="s" s="27">
        <v>142</v>
      </c>
      <c r="E31" t="s" s="27">
        <v>143</v>
      </c>
      <c r="F31" t="s" s="27">
        <v>45</v>
      </c>
      <c r="G31" s="33">
        <v>5</v>
      </c>
      <c r="H31" s="34"/>
      <c r="I31" s="31"/>
      <c r="J31" s="32"/>
    </row>
    <row r="32" ht="16" customHeight="1">
      <c r="A32" t="s" s="26">
        <v>144</v>
      </c>
      <c r="B32" t="s" s="27">
        <v>41</v>
      </c>
      <c r="C32" s="35"/>
      <c r="D32" t="s" s="27">
        <v>145</v>
      </c>
      <c r="E32" t="s" s="27">
        <v>146</v>
      </c>
      <c r="F32" t="s" s="27">
        <v>45</v>
      </c>
      <c r="G32" s="33">
        <v>3</v>
      </c>
      <c r="H32" s="34"/>
      <c r="I32" s="31"/>
      <c r="J32" s="32"/>
    </row>
    <row r="33" ht="16" customHeight="1">
      <c r="A33" t="s" s="26">
        <v>147</v>
      </c>
      <c r="B33" t="s" s="27">
        <v>41</v>
      </c>
      <c r="C33" s="35"/>
      <c r="D33" t="s" s="27">
        <v>148</v>
      </c>
      <c r="E33" t="s" s="27">
        <v>149</v>
      </c>
      <c r="F33" t="s" s="27">
        <v>45</v>
      </c>
      <c r="G33" s="33">
        <v>3</v>
      </c>
      <c r="H33" s="34"/>
      <c r="I33" s="31"/>
      <c r="J33" s="32"/>
    </row>
    <row r="34" ht="16" customHeight="1">
      <c r="A34" t="s" s="26">
        <v>150</v>
      </c>
      <c r="B34" t="s" s="27">
        <v>41</v>
      </c>
      <c r="C34" t="s" s="27">
        <v>42</v>
      </c>
      <c r="D34" t="s" s="27">
        <v>151</v>
      </c>
      <c r="E34" t="s" s="27">
        <v>152</v>
      </c>
      <c r="F34" t="s" s="27">
        <v>45</v>
      </c>
      <c r="G34" s="33">
        <v>2</v>
      </c>
      <c r="H34" s="34"/>
      <c r="I34" s="31"/>
      <c r="J34" s="32"/>
    </row>
    <row r="35" ht="16" customHeight="1">
      <c r="A35" t="s" s="26">
        <v>153</v>
      </c>
      <c r="B35" t="s" s="27">
        <v>41</v>
      </c>
      <c r="C35" t="s" s="27">
        <v>42</v>
      </c>
      <c r="D35" t="s" s="27">
        <v>154</v>
      </c>
      <c r="E35" t="s" s="27">
        <v>155</v>
      </c>
      <c r="F35" t="s" s="27">
        <v>45</v>
      </c>
      <c r="G35" s="33">
        <v>4</v>
      </c>
      <c r="H35" s="34"/>
      <c r="I35" s="31"/>
      <c r="J35" s="32"/>
    </row>
    <row r="36" ht="16" customHeight="1">
      <c r="A36" t="s" s="26">
        <v>156</v>
      </c>
      <c r="B36" t="s" s="27">
        <v>41</v>
      </c>
      <c r="C36" t="s" s="27">
        <v>42</v>
      </c>
      <c r="D36" t="s" s="27">
        <v>157</v>
      </c>
      <c r="E36" t="s" s="27">
        <v>158</v>
      </c>
      <c r="F36" t="s" s="27">
        <v>45</v>
      </c>
      <c r="G36" s="33">
        <v>4</v>
      </c>
      <c r="H36" s="34"/>
      <c r="I36" s="31"/>
      <c r="J36" s="32"/>
    </row>
    <row r="37" ht="16" customHeight="1">
      <c r="A37" t="s" s="26">
        <v>159</v>
      </c>
      <c r="B37" t="s" s="27">
        <v>41</v>
      </c>
      <c r="C37" t="s" s="27">
        <v>42</v>
      </c>
      <c r="D37" t="s" s="27">
        <v>160</v>
      </c>
      <c r="E37" t="s" s="27">
        <v>161</v>
      </c>
      <c r="F37" t="s" s="27">
        <v>45</v>
      </c>
      <c r="G37" s="33"/>
      <c r="H37" s="34"/>
      <c r="I37" s="31"/>
      <c r="J37" s="32"/>
    </row>
    <row r="38" ht="16" customHeight="1">
      <c r="A38" t="s" s="26">
        <v>162</v>
      </c>
      <c r="B38" t="s" s="27">
        <v>41</v>
      </c>
      <c r="C38" t="s" s="27">
        <v>42</v>
      </c>
      <c r="D38" t="s" s="27">
        <v>163</v>
      </c>
      <c r="E38" t="s" s="27">
        <v>164</v>
      </c>
      <c r="F38" t="s" s="27">
        <v>45</v>
      </c>
      <c r="G38" s="33"/>
      <c r="H38" s="34"/>
      <c r="I38" s="31"/>
      <c r="J38" s="32"/>
    </row>
    <row r="39" ht="16" customHeight="1">
      <c r="A39" t="s" s="26">
        <v>165</v>
      </c>
      <c r="B39" t="s" s="27">
        <v>41</v>
      </c>
      <c r="C39" t="s" s="27">
        <v>42</v>
      </c>
      <c r="D39" t="s" s="27">
        <v>166</v>
      </c>
      <c r="E39" t="s" s="27">
        <v>167</v>
      </c>
      <c r="F39" t="s" s="27">
        <v>45</v>
      </c>
      <c r="G39" s="33"/>
      <c r="H39" s="34"/>
      <c r="I39" s="31"/>
      <c r="J39" s="32"/>
    </row>
    <row r="40" ht="16" customHeight="1">
      <c r="A40" t="s" s="26">
        <v>168</v>
      </c>
      <c r="B40" t="s" s="27">
        <v>41</v>
      </c>
      <c r="C40" t="s" s="27">
        <v>42</v>
      </c>
      <c r="D40" t="s" s="27">
        <v>169</v>
      </c>
      <c r="E40" t="s" s="27">
        <v>170</v>
      </c>
      <c r="F40" t="s" s="27">
        <v>45</v>
      </c>
      <c r="G40" s="33"/>
      <c r="H40" s="34"/>
      <c r="I40" s="31"/>
      <c r="J40" s="32"/>
    </row>
    <row r="41" ht="16" customHeight="1">
      <c r="A41" t="s" s="26">
        <v>171</v>
      </c>
      <c r="B41" t="s" s="27">
        <v>41</v>
      </c>
      <c r="C41" t="s" s="27">
        <v>42</v>
      </c>
      <c r="D41" t="s" s="27">
        <v>172</v>
      </c>
      <c r="E41" t="s" s="27">
        <v>173</v>
      </c>
      <c r="F41" t="s" s="27">
        <v>45</v>
      </c>
      <c r="G41" s="33"/>
      <c r="H41" s="34"/>
      <c r="I41" s="31"/>
      <c r="J41" s="32"/>
    </row>
    <row r="42" ht="16" customHeight="1">
      <c r="A42" t="s" s="26">
        <v>174</v>
      </c>
      <c r="B42" t="s" s="27">
        <v>41</v>
      </c>
      <c r="C42" t="s" s="27">
        <v>42</v>
      </c>
      <c r="D42" t="s" s="27">
        <v>175</v>
      </c>
      <c r="E42" t="s" s="27">
        <v>176</v>
      </c>
      <c r="F42" t="s" s="27">
        <v>45</v>
      </c>
      <c r="G42" s="33"/>
      <c r="H42" s="34"/>
      <c r="I42" s="31"/>
      <c r="J42" s="32"/>
    </row>
    <row r="43" ht="24" customHeight="1">
      <c r="A43" t="s" s="26">
        <v>177</v>
      </c>
      <c r="B43" t="s" s="27">
        <v>41</v>
      </c>
      <c r="C43" t="s" s="27">
        <v>42</v>
      </c>
      <c r="D43" t="s" s="27">
        <v>178</v>
      </c>
      <c r="E43" t="s" s="27">
        <v>179</v>
      </c>
      <c r="F43" t="s" s="27">
        <v>45</v>
      </c>
      <c r="G43" s="33"/>
      <c r="H43" s="34"/>
      <c r="I43" s="31"/>
      <c r="J43" s="32"/>
    </row>
    <row r="44" ht="16" customHeight="1">
      <c r="A44" t="s" s="26">
        <v>180</v>
      </c>
      <c r="B44" t="s" s="27">
        <v>41</v>
      </c>
      <c r="C44" s="35"/>
      <c r="D44" t="s" s="27">
        <v>181</v>
      </c>
      <c r="E44" t="s" s="27">
        <v>182</v>
      </c>
      <c r="F44" t="s" s="27">
        <v>45</v>
      </c>
      <c r="G44" s="33"/>
      <c r="H44" s="34"/>
      <c r="I44" s="31"/>
      <c r="J44" s="32"/>
    </row>
    <row r="45" ht="16" customHeight="1">
      <c r="A45" t="s" s="26">
        <v>183</v>
      </c>
      <c r="B45" t="s" s="27">
        <v>41</v>
      </c>
      <c r="C45" t="s" s="27">
        <v>42</v>
      </c>
      <c r="D45" t="s" s="27">
        <v>184</v>
      </c>
      <c r="E45" t="s" s="27">
        <v>185</v>
      </c>
      <c r="F45" t="s" s="27">
        <v>45</v>
      </c>
      <c r="G45" s="33"/>
      <c r="H45" s="34"/>
      <c r="I45" s="31"/>
      <c r="J45" s="32"/>
    </row>
    <row r="46" ht="16" customHeight="1">
      <c r="A46" t="s" s="26">
        <v>186</v>
      </c>
      <c r="B46" t="s" s="27">
        <v>41</v>
      </c>
      <c r="C46" t="s" s="27">
        <v>42</v>
      </c>
      <c r="D46" t="s" s="27">
        <v>187</v>
      </c>
      <c r="E46" t="s" s="27">
        <v>188</v>
      </c>
      <c r="F46" t="s" s="27">
        <v>45</v>
      </c>
      <c r="G46" s="33"/>
      <c r="H46" s="34"/>
      <c r="I46" s="31"/>
      <c r="J46" s="32"/>
    </row>
    <row r="47" ht="16" customHeight="1">
      <c r="A47" t="s" s="26">
        <v>189</v>
      </c>
      <c r="B47" t="s" s="27">
        <v>41</v>
      </c>
      <c r="C47" t="s" s="27">
        <v>49</v>
      </c>
      <c r="D47" t="s" s="27">
        <v>190</v>
      </c>
      <c r="E47" t="s" s="27">
        <v>191</v>
      </c>
      <c r="F47" t="s" s="27">
        <v>45</v>
      </c>
      <c r="G47" s="33"/>
      <c r="H47" s="34"/>
      <c r="I47" s="31"/>
      <c r="J47" s="32"/>
    </row>
    <row r="48" ht="16" customHeight="1">
      <c r="A48" t="s" s="26">
        <v>192</v>
      </c>
      <c r="B48" t="s" s="27">
        <v>41</v>
      </c>
      <c r="C48" t="s" s="27">
        <v>49</v>
      </c>
      <c r="D48" t="s" s="27">
        <v>193</v>
      </c>
      <c r="E48" t="s" s="27">
        <v>194</v>
      </c>
      <c r="F48" t="s" s="27">
        <v>45</v>
      </c>
      <c r="G48" s="33"/>
      <c r="H48" s="34"/>
      <c r="I48" s="31"/>
      <c r="J48" s="32"/>
    </row>
    <row r="49" ht="16" customHeight="1">
      <c r="A49" t="s" s="26">
        <v>195</v>
      </c>
      <c r="B49" t="s" s="27">
        <v>41</v>
      </c>
      <c r="C49" t="s" s="27">
        <v>49</v>
      </c>
      <c r="D49" t="s" s="27">
        <v>196</v>
      </c>
      <c r="E49" t="s" s="27">
        <v>197</v>
      </c>
      <c r="F49" t="s" s="27">
        <v>45</v>
      </c>
      <c r="G49" s="33"/>
      <c r="H49" s="34"/>
      <c r="I49" s="31"/>
      <c r="J49" s="32"/>
    </row>
    <row r="50" ht="16" customHeight="1">
      <c r="A50" t="s" s="26">
        <v>198</v>
      </c>
      <c r="B50" t="s" s="27">
        <v>41</v>
      </c>
      <c r="C50" t="s" s="27">
        <v>49</v>
      </c>
      <c r="D50" t="s" s="27">
        <v>199</v>
      </c>
      <c r="E50" t="s" s="27">
        <v>200</v>
      </c>
      <c r="F50" t="s" s="27">
        <v>45</v>
      </c>
      <c r="G50" s="33"/>
      <c r="H50" s="34"/>
      <c r="I50" s="31"/>
      <c r="J50" s="32"/>
    </row>
    <row r="51" ht="16" customHeight="1">
      <c r="A51" t="s" s="26">
        <v>201</v>
      </c>
      <c r="B51" t="s" s="27">
        <v>41</v>
      </c>
      <c r="C51" t="s" s="27">
        <v>49</v>
      </c>
      <c r="D51" t="s" s="27">
        <v>202</v>
      </c>
      <c r="E51" t="s" s="27">
        <v>203</v>
      </c>
      <c r="F51" t="s" s="27">
        <v>45</v>
      </c>
      <c r="G51" s="33"/>
      <c r="H51" s="34"/>
      <c r="I51" s="31"/>
      <c r="J51" s="32"/>
    </row>
    <row r="52" ht="16" customHeight="1">
      <c r="A52" t="s" s="26">
        <v>204</v>
      </c>
      <c r="B52" t="s" s="27">
        <v>41</v>
      </c>
      <c r="C52" t="s" s="27">
        <v>49</v>
      </c>
      <c r="D52" t="s" s="27">
        <v>205</v>
      </c>
      <c r="E52" t="s" s="27">
        <v>206</v>
      </c>
      <c r="F52" t="s" s="27">
        <v>45</v>
      </c>
      <c r="G52" s="33"/>
      <c r="H52" s="34"/>
      <c r="I52" s="31"/>
      <c r="J52" s="32"/>
    </row>
    <row r="53" ht="16" customHeight="1">
      <c r="A53" t="s" s="26">
        <v>207</v>
      </c>
      <c r="B53" t="s" s="27">
        <v>41</v>
      </c>
      <c r="C53" t="s" s="27">
        <v>49</v>
      </c>
      <c r="D53" t="s" s="27">
        <v>208</v>
      </c>
      <c r="E53" t="s" s="27">
        <v>209</v>
      </c>
      <c r="F53" t="s" s="27">
        <v>45</v>
      </c>
      <c r="G53" s="33"/>
      <c r="H53" s="34"/>
      <c r="I53" s="31"/>
      <c r="J53" s="32"/>
    </row>
    <row r="54" ht="16" customHeight="1">
      <c r="A54" t="s" s="26">
        <v>210</v>
      </c>
      <c r="B54" t="s" s="27">
        <v>41</v>
      </c>
      <c r="C54" t="s" s="27">
        <v>49</v>
      </c>
      <c r="D54" t="s" s="27">
        <v>211</v>
      </c>
      <c r="E54" t="s" s="27">
        <v>212</v>
      </c>
      <c r="F54" t="s" s="27">
        <v>45</v>
      </c>
      <c r="G54" s="33"/>
      <c r="H54" s="34"/>
      <c r="I54" s="31"/>
      <c r="J54" s="32"/>
    </row>
    <row r="55" ht="24" customHeight="1">
      <c r="A55" t="s" s="26">
        <v>213</v>
      </c>
      <c r="B55" t="s" s="27">
        <v>41</v>
      </c>
      <c r="C55" s="35"/>
      <c r="D55" t="s" s="27">
        <v>214</v>
      </c>
      <c r="E55" t="s" s="27">
        <v>215</v>
      </c>
      <c r="F55" t="s" s="27">
        <v>45</v>
      </c>
      <c r="G55" s="33"/>
      <c r="H55" s="34"/>
      <c r="I55" s="31"/>
      <c r="J55" s="32"/>
    </row>
    <row r="56" ht="16" customHeight="1">
      <c r="A56" t="s" s="26">
        <v>216</v>
      </c>
      <c r="B56" t="s" s="27">
        <v>41</v>
      </c>
      <c r="C56" s="35"/>
      <c r="D56" t="s" s="27">
        <v>217</v>
      </c>
      <c r="E56" t="s" s="27">
        <v>218</v>
      </c>
      <c r="F56" t="s" s="27">
        <v>45</v>
      </c>
      <c r="G56" s="33"/>
      <c r="H56" s="34"/>
      <c r="I56" s="31"/>
      <c r="J56" s="32"/>
    </row>
    <row r="57" ht="16" customHeight="1">
      <c r="A57" t="s" s="26">
        <v>219</v>
      </c>
      <c r="B57" t="s" s="27">
        <v>41</v>
      </c>
      <c r="C57" s="35"/>
      <c r="D57" t="s" s="27">
        <v>220</v>
      </c>
      <c r="E57" t="s" s="27">
        <v>221</v>
      </c>
      <c r="F57" t="s" s="27">
        <v>45</v>
      </c>
      <c r="G57" s="33"/>
      <c r="H57" s="34"/>
      <c r="I57" s="31"/>
      <c r="J57" s="32"/>
    </row>
    <row r="58" ht="16" customHeight="1">
      <c r="A58" t="s" s="26">
        <v>222</v>
      </c>
      <c r="B58" t="s" s="27">
        <v>41</v>
      </c>
      <c r="C58" s="35"/>
      <c r="D58" t="s" s="27">
        <v>223</v>
      </c>
      <c r="E58" t="s" s="27">
        <v>224</v>
      </c>
      <c r="F58" t="s" s="27">
        <v>45</v>
      </c>
      <c r="G58" s="33"/>
      <c r="H58" s="34"/>
      <c r="I58" s="31"/>
      <c r="J58" s="32"/>
    </row>
    <row r="59" ht="16" customHeight="1">
      <c r="A59" t="s" s="26">
        <v>225</v>
      </c>
      <c r="B59" t="s" s="27">
        <v>41</v>
      </c>
      <c r="C59" s="35"/>
      <c r="D59" t="s" s="27">
        <v>226</v>
      </c>
      <c r="E59" t="s" s="27">
        <v>227</v>
      </c>
      <c r="F59" t="s" s="27">
        <v>45</v>
      </c>
      <c r="G59" s="33"/>
      <c r="H59" s="34"/>
      <c r="I59" s="31"/>
      <c r="J59" s="32"/>
    </row>
    <row r="60" ht="16" customHeight="1">
      <c r="A60" t="s" s="26">
        <v>228</v>
      </c>
      <c r="B60" t="s" s="27">
        <v>41</v>
      </c>
      <c r="C60" s="35"/>
      <c r="D60" t="s" s="27">
        <v>229</v>
      </c>
      <c r="E60" t="s" s="27">
        <v>230</v>
      </c>
      <c r="F60" t="s" s="27">
        <v>45</v>
      </c>
      <c r="G60" s="33"/>
      <c r="H60" s="34"/>
      <c r="I60" s="31"/>
      <c r="J60" s="32"/>
    </row>
    <row r="61" ht="16" customHeight="1">
      <c r="A61" t="s" s="26">
        <v>231</v>
      </c>
      <c r="B61" t="s" s="27">
        <v>41</v>
      </c>
      <c r="C61" s="35"/>
      <c r="D61" t="s" s="27">
        <v>232</v>
      </c>
      <c r="E61" t="s" s="27">
        <v>233</v>
      </c>
      <c r="F61" t="s" s="27">
        <v>45</v>
      </c>
      <c r="G61" s="33"/>
      <c r="H61" s="34"/>
      <c r="I61" s="31"/>
      <c r="J61" s="32"/>
    </row>
    <row r="62" ht="16" customHeight="1">
      <c r="A62" t="s" s="26">
        <v>234</v>
      </c>
      <c r="B62" t="s" s="27">
        <v>41</v>
      </c>
      <c r="C62" s="35"/>
      <c r="D62" t="s" s="27">
        <v>235</v>
      </c>
      <c r="E62" t="s" s="27">
        <v>236</v>
      </c>
      <c r="F62" t="s" s="27">
        <v>45</v>
      </c>
      <c r="G62" s="33"/>
      <c r="H62" s="34"/>
      <c r="I62" s="31"/>
      <c r="J62" s="32"/>
    </row>
    <row r="63" ht="16" customHeight="1">
      <c r="A63" t="s" s="26">
        <v>237</v>
      </c>
      <c r="B63" t="s" s="27">
        <v>41</v>
      </c>
      <c r="C63" s="35"/>
      <c r="D63" t="s" s="27">
        <v>238</v>
      </c>
      <c r="E63" t="s" s="27">
        <v>239</v>
      </c>
      <c r="F63" t="s" s="27">
        <v>45</v>
      </c>
      <c r="G63" s="33"/>
      <c r="H63" s="34"/>
      <c r="I63" s="31"/>
      <c r="J63" s="32"/>
    </row>
    <row r="64" ht="24" customHeight="1">
      <c r="A64" t="s" s="26">
        <v>240</v>
      </c>
      <c r="B64" t="s" s="27">
        <v>41</v>
      </c>
      <c r="C64" s="35"/>
      <c r="D64" t="s" s="27">
        <v>241</v>
      </c>
      <c r="E64" t="s" s="27">
        <v>242</v>
      </c>
      <c r="F64" t="s" s="27">
        <v>45</v>
      </c>
      <c r="G64" s="33"/>
      <c r="H64" s="34"/>
      <c r="I64" s="31"/>
      <c r="J64" s="32"/>
    </row>
    <row r="65" ht="16" customHeight="1">
      <c r="A65" t="s" s="26">
        <v>243</v>
      </c>
      <c r="B65" t="s" s="27">
        <v>41</v>
      </c>
      <c r="C65" t="s" s="27">
        <v>42</v>
      </c>
      <c r="D65" t="s" s="27">
        <v>244</v>
      </c>
      <c r="E65" t="s" s="27">
        <v>245</v>
      </c>
      <c r="F65" t="s" s="27">
        <v>45</v>
      </c>
      <c r="G65" s="33"/>
      <c r="H65" s="34"/>
      <c r="I65" s="31"/>
      <c r="J65" s="32"/>
    </row>
    <row r="66" ht="24" customHeight="1">
      <c r="A66" t="s" s="26">
        <v>246</v>
      </c>
      <c r="B66" t="s" s="27">
        <v>41</v>
      </c>
      <c r="C66" t="s" s="27">
        <v>42</v>
      </c>
      <c r="D66" t="s" s="27">
        <v>247</v>
      </c>
      <c r="E66" t="s" s="27">
        <v>248</v>
      </c>
      <c r="F66" t="s" s="27">
        <v>45</v>
      </c>
      <c r="G66" s="33"/>
      <c r="H66" s="34"/>
      <c r="I66" s="31"/>
      <c r="J66" s="32"/>
    </row>
    <row r="67" ht="16" customHeight="1">
      <c r="A67" t="s" s="26">
        <v>249</v>
      </c>
      <c r="B67" t="s" s="27">
        <v>41</v>
      </c>
      <c r="C67" s="35"/>
      <c r="D67" t="s" s="27">
        <v>250</v>
      </c>
      <c r="E67" t="s" s="27">
        <v>251</v>
      </c>
      <c r="F67" t="s" s="27">
        <v>45</v>
      </c>
      <c r="G67" s="33"/>
      <c r="H67" s="34"/>
      <c r="I67" s="31"/>
      <c r="J67" s="32"/>
    </row>
    <row r="68" ht="16" customHeight="1">
      <c r="A68" t="s" s="26">
        <v>252</v>
      </c>
      <c r="B68" t="s" s="27">
        <v>41</v>
      </c>
      <c r="C68" t="s" s="27">
        <v>42</v>
      </c>
      <c r="D68" t="s" s="27">
        <v>253</v>
      </c>
      <c r="E68" t="s" s="27">
        <v>254</v>
      </c>
      <c r="F68" t="s" s="27">
        <v>45</v>
      </c>
      <c r="G68" s="33"/>
      <c r="H68" s="34"/>
      <c r="I68" s="31"/>
      <c r="J68" s="32"/>
    </row>
    <row r="69" ht="16" customHeight="1">
      <c r="A69" t="s" s="26">
        <v>255</v>
      </c>
      <c r="B69" t="s" s="27">
        <v>41</v>
      </c>
      <c r="C69" t="s" s="27">
        <v>73</v>
      </c>
      <c r="D69" t="s" s="27">
        <v>256</v>
      </c>
      <c r="E69" t="s" s="27">
        <v>257</v>
      </c>
      <c r="F69" t="s" s="27">
        <v>45</v>
      </c>
      <c r="G69" s="33"/>
      <c r="H69" s="34"/>
      <c r="I69" s="31"/>
      <c r="J69" s="32"/>
    </row>
    <row r="70" ht="16" customHeight="1">
      <c r="A70" t="s" s="26">
        <v>258</v>
      </c>
      <c r="B70" t="s" s="27">
        <v>41</v>
      </c>
      <c r="C70" t="s" s="27">
        <v>42</v>
      </c>
      <c r="D70" t="s" s="27">
        <v>259</v>
      </c>
      <c r="E70" t="s" s="27">
        <v>260</v>
      </c>
      <c r="F70" t="s" s="27">
        <v>45</v>
      </c>
      <c r="G70" s="33"/>
      <c r="H70" s="34"/>
      <c r="I70" s="31"/>
      <c r="J70" s="32"/>
    </row>
    <row r="71" ht="16" customHeight="1">
      <c r="A71" t="s" s="26">
        <v>261</v>
      </c>
      <c r="B71" t="s" s="27">
        <v>41</v>
      </c>
      <c r="C71" t="s" s="27">
        <v>42</v>
      </c>
      <c r="D71" t="s" s="27">
        <v>262</v>
      </c>
      <c r="E71" t="s" s="27">
        <v>263</v>
      </c>
      <c r="F71" t="s" s="27">
        <v>45</v>
      </c>
      <c r="G71" s="33"/>
      <c r="H71" s="34"/>
      <c r="I71" s="31"/>
      <c r="J71" s="32"/>
    </row>
    <row r="72" ht="16" customHeight="1">
      <c r="A72" t="s" s="26">
        <v>264</v>
      </c>
      <c r="B72" t="s" s="27">
        <v>41</v>
      </c>
      <c r="C72" t="s" s="27">
        <v>42</v>
      </c>
      <c r="D72" t="s" s="27">
        <v>265</v>
      </c>
      <c r="E72" t="s" s="27">
        <v>266</v>
      </c>
      <c r="F72" t="s" s="27">
        <v>45</v>
      </c>
      <c r="G72" s="33"/>
      <c r="H72" s="34"/>
      <c r="I72" s="31"/>
      <c r="J72" s="32"/>
    </row>
    <row r="73" ht="24" customHeight="1">
      <c r="A73" t="s" s="26">
        <v>267</v>
      </c>
      <c r="B73" t="s" s="27">
        <v>41</v>
      </c>
      <c r="C73" t="s" s="27">
        <v>42</v>
      </c>
      <c r="D73" t="s" s="27">
        <v>268</v>
      </c>
      <c r="E73" t="s" s="27">
        <v>269</v>
      </c>
      <c r="F73" t="s" s="27">
        <v>45</v>
      </c>
      <c r="G73" s="33"/>
      <c r="H73" s="34"/>
      <c r="I73" s="31"/>
      <c r="J73" s="32"/>
    </row>
    <row r="74" ht="16" customHeight="1">
      <c r="A74" t="s" s="26">
        <v>270</v>
      </c>
      <c r="B74" t="s" s="27">
        <v>41</v>
      </c>
      <c r="C74" t="s" s="27">
        <v>42</v>
      </c>
      <c r="D74" t="s" s="27">
        <v>271</v>
      </c>
      <c r="E74" t="s" s="27">
        <v>272</v>
      </c>
      <c r="F74" t="s" s="27">
        <v>45</v>
      </c>
      <c r="G74" s="33"/>
      <c r="H74" s="34"/>
      <c r="I74" s="31"/>
      <c r="J74" s="32"/>
    </row>
    <row r="75" ht="16" customHeight="1">
      <c r="A75" t="s" s="26">
        <v>273</v>
      </c>
      <c r="B75" t="s" s="27">
        <v>41</v>
      </c>
      <c r="C75" t="s" s="27">
        <v>42</v>
      </c>
      <c r="D75" t="s" s="27">
        <v>274</v>
      </c>
      <c r="E75" t="s" s="27">
        <v>275</v>
      </c>
      <c r="F75" t="s" s="27">
        <v>45</v>
      </c>
      <c r="G75" s="33"/>
      <c r="H75" s="34"/>
      <c r="I75" s="31"/>
      <c r="J75" s="32"/>
    </row>
    <row r="76" ht="16" customHeight="1">
      <c r="A76" t="s" s="26">
        <v>276</v>
      </c>
      <c r="B76" t="s" s="27">
        <v>41</v>
      </c>
      <c r="C76" t="s" s="27">
        <v>42</v>
      </c>
      <c r="D76" t="s" s="27">
        <v>277</v>
      </c>
      <c r="E76" t="s" s="27">
        <v>278</v>
      </c>
      <c r="F76" t="s" s="27">
        <v>45</v>
      </c>
      <c r="G76" s="33"/>
      <c r="H76" s="34"/>
      <c r="I76" s="31"/>
      <c r="J76" s="32"/>
    </row>
    <row r="77" ht="16" customHeight="1">
      <c r="A77" t="s" s="26">
        <v>279</v>
      </c>
      <c r="B77" t="s" s="27">
        <v>41</v>
      </c>
      <c r="C77" s="35"/>
      <c r="D77" t="s" s="27">
        <v>280</v>
      </c>
      <c r="E77" t="s" s="27">
        <v>281</v>
      </c>
      <c r="F77" t="s" s="27">
        <v>45</v>
      </c>
      <c r="G77" s="33"/>
      <c r="H77" s="34"/>
      <c r="I77" s="31"/>
      <c r="J77" s="32"/>
    </row>
    <row r="78" ht="16" customHeight="1">
      <c r="A78" t="s" s="26">
        <v>282</v>
      </c>
      <c r="B78" t="s" s="27">
        <v>41</v>
      </c>
      <c r="C78" t="s" s="27">
        <v>42</v>
      </c>
      <c r="D78" t="s" s="27">
        <v>283</v>
      </c>
      <c r="E78" t="s" s="27">
        <v>284</v>
      </c>
      <c r="F78" t="s" s="27">
        <v>45</v>
      </c>
      <c r="G78" s="33"/>
      <c r="H78" s="34"/>
      <c r="I78" s="31"/>
      <c r="J78" s="32"/>
    </row>
    <row r="79" ht="16" customHeight="1">
      <c r="A79" t="s" s="26">
        <v>285</v>
      </c>
      <c r="B79" t="s" s="27">
        <v>41</v>
      </c>
      <c r="C79" t="s" s="27">
        <v>42</v>
      </c>
      <c r="D79" t="s" s="27">
        <v>286</v>
      </c>
      <c r="E79" t="s" s="27">
        <v>287</v>
      </c>
      <c r="F79" t="s" s="27">
        <v>45</v>
      </c>
      <c r="G79" s="33"/>
      <c r="H79" s="34"/>
      <c r="I79" s="31"/>
      <c r="J79" s="32"/>
    </row>
    <row r="80" ht="16" customHeight="1">
      <c r="A80" t="s" s="26">
        <v>288</v>
      </c>
      <c r="B80" t="s" s="27">
        <v>41</v>
      </c>
      <c r="C80" t="s" s="27">
        <v>42</v>
      </c>
      <c r="D80" t="s" s="27">
        <v>289</v>
      </c>
      <c r="E80" t="s" s="27">
        <v>290</v>
      </c>
      <c r="F80" t="s" s="27">
        <v>45</v>
      </c>
      <c r="G80" s="33">
        <v>0</v>
      </c>
      <c r="H80" t="s" s="29">
        <v>291</v>
      </c>
      <c r="I80" s="31"/>
      <c r="J80" s="32"/>
    </row>
    <row r="81" ht="16" customHeight="1">
      <c r="A81" t="s" s="26">
        <v>292</v>
      </c>
      <c r="B81" t="s" s="27">
        <v>41</v>
      </c>
      <c r="C81" t="s" s="27">
        <v>42</v>
      </c>
      <c r="D81" t="s" s="27">
        <v>293</v>
      </c>
      <c r="E81" t="s" s="27">
        <v>294</v>
      </c>
      <c r="F81" t="s" s="27">
        <v>45</v>
      </c>
      <c r="G81" s="33">
        <v>0</v>
      </c>
      <c r="H81" t="s" s="29">
        <v>291</v>
      </c>
      <c r="I81" s="31"/>
      <c r="J81" s="32"/>
    </row>
    <row r="82" ht="16" customHeight="1">
      <c r="A82" t="s" s="26">
        <v>295</v>
      </c>
      <c r="B82" t="s" s="27">
        <v>41</v>
      </c>
      <c r="C82" t="s" s="27">
        <v>49</v>
      </c>
      <c r="D82" t="s" s="27">
        <v>296</v>
      </c>
      <c r="E82" t="s" s="27">
        <v>297</v>
      </c>
      <c r="F82" t="s" s="27">
        <v>45</v>
      </c>
      <c r="G82" s="33">
        <v>0</v>
      </c>
      <c r="H82" t="s" s="29">
        <v>291</v>
      </c>
      <c r="I82" s="31"/>
      <c r="J82" s="32"/>
    </row>
    <row r="83" ht="16" customHeight="1">
      <c r="A83" t="s" s="26">
        <v>298</v>
      </c>
      <c r="B83" t="s" s="27">
        <v>41</v>
      </c>
      <c r="C83" t="s" s="27">
        <v>42</v>
      </c>
      <c r="D83" t="s" s="27">
        <v>299</v>
      </c>
      <c r="E83" t="s" s="27">
        <v>300</v>
      </c>
      <c r="F83" t="s" s="27">
        <v>45</v>
      </c>
      <c r="G83" s="33">
        <v>0</v>
      </c>
      <c r="H83" t="s" s="29">
        <v>291</v>
      </c>
      <c r="I83" s="31"/>
      <c r="J83" s="32"/>
    </row>
    <row r="84" ht="16" customHeight="1">
      <c r="A84" t="s" s="26">
        <v>301</v>
      </c>
      <c r="B84" t="s" s="27">
        <v>41</v>
      </c>
      <c r="C84" t="s" s="27">
        <v>42</v>
      </c>
      <c r="D84" t="s" s="27">
        <v>302</v>
      </c>
      <c r="E84" t="s" s="27">
        <v>303</v>
      </c>
      <c r="F84" t="s" s="27">
        <v>45</v>
      </c>
      <c r="G84" s="33">
        <v>0</v>
      </c>
      <c r="H84" t="s" s="29">
        <v>291</v>
      </c>
      <c r="I84" s="31"/>
      <c r="J84" s="32"/>
    </row>
    <row r="85" ht="16" customHeight="1">
      <c r="A85" t="s" s="26">
        <v>304</v>
      </c>
      <c r="B85" t="s" s="27">
        <v>41</v>
      </c>
      <c r="C85" s="35"/>
      <c r="D85" t="s" s="27">
        <v>305</v>
      </c>
      <c r="E85" t="s" s="27">
        <v>306</v>
      </c>
      <c r="F85" t="s" s="27">
        <v>45</v>
      </c>
      <c r="G85" s="33">
        <v>0</v>
      </c>
      <c r="H85" t="s" s="29">
        <v>291</v>
      </c>
      <c r="I85" s="31"/>
      <c r="J85" s="32"/>
    </row>
    <row r="86" ht="16" customHeight="1">
      <c r="A86" t="s" s="26">
        <v>307</v>
      </c>
      <c r="B86" t="s" s="27">
        <v>41</v>
      </c>
      <c r="C86" s="35"/>
      <c r="D86" t="s" s="27">
        <v>308</v>
      </c>
      <c r="E86" t="s" s="27">
        <v>309</v>
      </c>
      <c r="F86" t="s" s="27">
        <v>45</v>
      </c>
      <c r="G86" s="33">
        <v>0</v>
      </c>
      <c r="H86" t="s" s="29">
        <v>291</v>
      </c>
      <c r="I86" s="31"/>
      <c r="J86" s="32"/>
    </row>
    <row r="87" ht="16" customHeight="1">
      <c r="A87" t="s" s="26">
        <v>310</v>
      </c>
      <c r="B87" t="s" s="27">
        <v>41</v>
      </c>
      <c r="C87" t="s" s="27">
        <v>42</v>
      </c>
      <c r="D87" t="s" s="27">
        <v>311</v>
      </c>
      <c r="E87" t="s" s="27">
        <v>312</v>
      </c>
      <c r="F87" t="s" s="27">
        <v>45</v>
      </c>
      <c r="G87" s="33">
        <v>0</v>
      </c>
      <c r="H87" t="s" s="29">
        <v>291</v>
      </c>
      <c r="I87" s="31"/>
      <c r="J87" s="32"/>
    </row>
    <row r="88" ht="16" customHeight="1">
      <c r="A88" t="s" s="26">
        <v>313</v>
      </c>
      <c r="B88" t="s" s="27">
        <v>41</v>
      </c>
      <c r="C88" t="s" s="27">
        <v>42</v>
      </c>
      <c r="D88" t="s" s="27">
        <v>314</v>
      </c>
      <c r="E88" t="s" s="27">
        <v>315</v>
      </c>
      <c r="F88" t="s" s="27">
        <v>45</v>
      </c>
      <c r="G88" s="33">
        <v>0</v>
      </c>
      <c r="H88" t="s" s="29">
        <v>291</v>
      </c>
      <c r="I88" s="31"/>
      <c r="J88" s="32"/>
    </row>
    <row r="89" ht="16" customHeight="1">
      <c r="A89" t="s" s="26">
        <v>316</v>
      </c>
      <c r="B89" t="s" s="27">
        <v>41</v>
      </c>
      <c r="C89" t="s" s="27">
        <v>42</v>
      </c>
      <c r="D89" t="s" s="27">
        <v>317</v>
      </c>
      <c r="E89" t="s" s="27">
        <v>318</v>
      </c>
      <c r="F89" t="s" s="27">
        <v>45</v>
      </c>
      <c r="G89" s="33">
        <v>0</v>
      </c>
      <c r="H89" t="s" s="29">
        <v>291</v>
      </c>
      <c r="I89" s="31"/>
      <c r="J89" s="32"/>
    </row>
    <row r="90" ht="16" customHeight="1">
      <c r="A90" t="s" s="26">
        <v>319</v>
      </c>
      <c r="B90" t="s" s="27">
        <v>41</v>
      </c>
      <c r="C90" t="s" s="27">
        <v>42</v>
      </c>
      <c r="D90" t="s" s="27">
        <v>320</v>
      </c>
      <c r="E90" t="s" s="27">
        <v>321</v>
      </c>
      <c r="F90" t="s" s="27">
        <v>45</v>
      </c>
      <c r="G90" s="33"/>
      <c r="H90" s="34"/>
      <c r="I90" s="31"/>
      <c r="J90" s="32"/>
    </row>
    <row r="91" ht="16" customHeight="1">
      <c r="A91" t="s" s="26">
        <v>322</v>
      </c>
      <c r="B91" t="s" s="27">
        <v>41</v>
      </c>
      <c r="C91" t="s" s="27">
        <v>42</v>
      </c>
      <c r="D91" t="s" s="27">
        <v>323</v>
      </c>
      <c r="E91" t="s" s="27">
        <v>324</v>
      </c>
      <c r="F91" t="s" s="27">
        <v>45</v>
      </c>
      <c r="G91" s="33"/>
      <c r="H91" s="34"/>
      <c r="I91" s="31"/>
      <c r="J91" s="32"/>
    </row>
    <row r="92" ht="16" customHeight="1">
      <c r="A92" t="s" s="26">
        <v>325</v>
      </c>
      <c r="B92" t="s" s="27">
        <v>41</v>
      </c>
      <c r="C92" t="s" s="27">
        <v>42</v>
      </c>
      <c r="D92" t="s" s="27">
        <v>326</v>
      </c>
      <c r="E92" t="s" s="27">
        <v>327</v>
      </c>
      <c r="F92" t="s" s="27">
        <v>45</v>
      </c>
      <c r="G92" s="33"/>
      <c r="H92" s="34"/>
      <c r="I92" s="31"/>
      <c r="J92" s="32"/>
    </row>
    <row r="93" ht="16" customHeight="1">
      <c r="A93" t="s" s="26">
        <v>328</v>
      </c>
      <c r="B93" t="s" s="27">
        <v>41</v>
      </c>
      <c r="C93" t="s" s="27">
        <v>42</v>
      </c>
      <c r="D93" t="s" s="27">
        <v>329</v>
      </c>
      <c r="E93" t="s" s="27">
        <v>330</v>
      </c>
      <c r="F93" t="s" s="27">
        <v>45</v>
      </c>
      <c r="G93" s="33"/>
      <c r="H93" s="34"/>
      <c r="I93" s="31"/>
      <c r="J93" s="32"/>
    </row>
    <row r="94" ht="16" customHeight="1">
      <c r="A94" t="s" s="26">
        <v>331</v>
      </c>
      <c r="B94" t="s" s="27">
        <v>41</v>
      </c>
      <c r="C94" t="s" s="27">
        <v>42</v>
      </c>
      <c r="D94" t="s" s="27">
        <v>332</v>
      </c>
      <c r="E94" t="s" s="27">
        <v>333</v>
      </c>
      <c r="F94" t="s" s="27">
        <v>45</v>
      </c>
      <c r="G94" s="33"/>
      <c r="H94" s="34"/>
      <c r="I94" s="31"/>
      <c r="J94" s="32"/>
    </row>
    <row r="95" ht="16" customHeight="1">
      <c r="A95" t="s" s="26">
        <v>334</v>
      </c>
      <c r="B95" t="s" s="27">
        <v>41</v>
      </c>
      <c r="C95" t="s" s="27">
        <v>42</v>
      </c>
      <c r="D95" t="s" s="27">
        <v>335</v>
      </c>
      <c r="E95" t="s" s="27">
        <v>336</v>
      </c>
      <c r="F95" t="s" s="27">
        <v>45</v>
      </c>
      <c r="G95" s="33"/>
      <c r="H95" s="34"/>
      <c r="I95" s="31"/>
      <c r="J95" s="32"/>
    </row>
    <row r="96" ht="16" customHeight="1">
      <c r="A96" t="s" s="26">
        <v>337</v>
      </c>
      <c r="B96" t="s" s="27">
        <v>41</v>
      </c>
      <c r="C96" t="s" s="27">
        <v>42</v>
      </c>
      <c r="D96" t="s" s="27">
        <v>338</v>
      </c>
      <c r="E96" t="s" s="27">
        <v>339</v>
      </c>
      <c r="F96" t="s" s="27">
        <v>45</v>
      </c>
      <c r="G96" s="33"/>
      <c r="H96" s="34"/>
      <c r="I96" s="31"/>
      <c r="J96" s="32"/>
    </row>
    <row r="97" ht="16" customHeight="1">
      <c r="A97" t="s" s="26">
        <v>340</v>
      </c>
      <c r="B97" t="s" s="27">
        <v>41</v>
      </c>
      <c r="C97" t="s" s="27">
        <v>42</v>
      </c>
      <c r="D97" t="s" s="27">
        <v>341</v>
      </c>
      <c r="E97" t="s" s="27">
        <v>342</v>
      </c>
      <c r="F97" t="s" s="27">
        <v>45</v>
      </c>
      <c r="G97" s="33"/>
      <c r="H97" s="34"/>
      <c r="I97" s="31"/>
      <c r="J97" s="32"/>
    </row>
    <row r="98" ht="24" customHeight="1">
      <c r="A98" t="s" s="26">
        <v>343</v>
      </c>
      <c r="B98" t="s" s="27">
        <v>41</v>
      </c>
      <c r="C98" t="s" s="27">
        <v>42</v>
      </c>
      <c r="D98" t="s" s="27">
        <v>344</v>
      </c>
      <c r="E98" t="s" s="27">
        <v>345</v>
      </c>
      <c r="F98" t="s" s="27">
        <v>45</v>
      </c>
      <c r="G98" s="33"/>
      <c r="H98" s="34"/>
      <c r="I98" s="31"/>
      <c r="J98" s="32"/>
    </row>
    <row r="99" ht="16" customHeight="1">
      <c r="A99" t="s" s="26">
        <v>346</v>
      </c>
      <c r="B99" t="s" s="27">
        <v>41</v>
      </c>
      <c r="C99" t="s" s="27">
        <v>42</v>
      </c>
      <c r="D99" t="s" s="27">
        <v>347</v>
      </c>
      <c r="E99" t="s" s="27">
        <v>348</v>
      </c>
      <c r="F99" t="s" s="27">
        <v>45</v>
      </c>
      <c r="G99" s="33"/>
      <c r="H99" s="34"/>
      <c r="I99" s="31"/>
      <c r="J99" s="32"/>
    </row>
    <row r="100" ht="16" customHeight="1">
      <c r="A100" t="s" s="26">
        <v>349</v>
      </c>
      <c r="B100" t="s" s="27">
        <v>41</v>
      </c>
      <c r="C100" t="s" s="27">
        <v>49</v>
      </c>
      <c r="D100" t="s" s="27">
        <v>350</v>
      </c>
      <c r="E100" t="s" s="27">
        <v>351</v>
      </c>
      <c r="F100" t="s" s="27">
        <v>45</v>
      </c>
      <c r="G100" s="33"/>
      <c r="H100" s="34"/>
      <c r="I100" s="31"/>
      <c r="J100" s="32"/>
    </row>
    <row r="101" ht="16" customHeight="1">
      <c r="A101" t="s" s="26">
        <v>352</v>
      </c>
      <c r="B101" t="s" s="27">
        <v>41</v>
      </c>
      <c r="C101" t="s" s="27">
        <v>42</v>
      </c>
      <c r="D101" t="s" s="27">
        <v>353</v>
      </c>
      <c r="E101" t="s" s="27">
        <v>354</v>
      </c>
      <c r="F101" t="s" s="27">
        <v>45</v>
      </c>
      <c r="G101" s="33"/>
      <c r="H101" s="34"/>
      <c r="I101" s="31"/>
      <c r="J101" s="32"/>
    </row>
    <row r="102" ht="16" customHeight="1">
      <c r="A102" t="s" s="26">
        <v>355</v>
      </c>
      <c r="B102" t="s" s="27">
        <v>41</v>
      </c>
      <c r="C102" t="s" s="27">
        <v>42</v>
      </c>
      <c r="D102" t="s" s="27">
        <v>356</v>
      </c>
      <c r="E102" t="s" s="27">
        <v>357</v>
      </c>
      <c r="F102" t="s" s="27">
        <v>45</v>
      </c>
      <c r="G102" s="33"/>
      <c r="H102" s="34"/>
      <c r="I102" s="31"/>
      <c r="J102" s="32"/>
    </row>
    <row r="103" ht="16" customHeight="1">
      <c r="A103" t="s" s="26">
        <v>358</v>
      </c>
      <c r="B103" t="s" s="27">
        <v>41</v>
      </c>
      <c r="C103" t="s" s="27">
        <v>73</v>
      </c>
      <c r="D103" t="s" s="27">
        <v>359</v>
      </c>
      <c r="E103" t="s" s="27">
        <v>360</v>
      </c>
      <c r="F103" t="s" s="27">
        <v>45</v>
      </c>
      <c r="G103" s="33"/>
      <c r="H103" s="34"/>
      <c r="I103" s="31"/>
      <c r="J103" s="32"/>
    </row>
    <row r="104" ht="24" customHeight="1">
      <c r="A104" t="s" s="26">
        <v>361</v>
      </c>
      <c r="B104" t="s" s="27">
        <v>41</v>
      </c>
      <c r="C104" t="s" s="27">
        <v>42</v>
      </c>
      <c r="D104" t="s" s="27">
        <v>356</v>
      </c>
      <c r="E104" t="s" s="27">
        <v>362</v>
      </c>
      <c r="F104" t="s" s="27">
        <v>45</v>
      </c>
      <c r="G104" s="33"/>
      <c r="H104" s="34"/>
      <c r="I104" s="31"/>
      <c r="J104" s="32"/>
    </row>
    <row r="105" ht="24" customHeight="1">
      <c r="A105" t="s" s="26">
        <v>363</v>
      </c>
      <c r="B105" t="s" s="27">
        <v>41</v>
      </c>
      <c r="C105" t="s" s="27">
        <v>42</v>
      </c>
      <c r="D105" t="s" s="27">
        <v>364</v>
      </c>
      <c r="E105" t="s" s="27">
        <v>365</v>
      </c>
      <c r="F105" t="s" s="27">
        <v>45</v>
      </c>
      <c r="G105" s="33"/>
      <c r="H105" s="34"/>
      <c r="I105" s="31"/>
      <c r="J105" s="32"/>
    </row>
    <row r="106" ht="16" customHeight="1">
      <c r="A106" t="s" s="26">
        <v>366</v>
      </c>
      <c r="B106" t="s" s="27">
        <v>41</v>
      </c>
      <c r="C106" t="s" s="27">
        <v>42</v>
      </c>
      <c r="D106" t="s" s="27">
        <v>367</v>
      </c>
      <c r="E106" t="s" s="27">
        <v>368</v>
      </c>
      <c r="F106" t="s" s="27">
        <v>45</v>
      </c>
      <c r="G106" s="33"/>
      <c r="H106" s="34"/>
      <c r="I106" s="31"/>
      <c r="J106" s="32"/>
    </row>
    <row r="107" ht="16" customHeight="1">
      <c r="A107" t="s" s="26">
        <v>369</v>
      </c>
      <c r="B107" t="s" s="27">
        <v>41</v>
      </c>
      <c r="C107" t="s" s="27">
        <v>42</v>
      </c>
      <c r="D107" t="s" s="27">
        <v>370</v>
      </c>
      <c r="E107" t="s" s="27">
        <v>371</v>
      </c>
      <c r="F107" t="s" s="27">
        <v>45</v>
      </c>
      <c r="G107" s="33"/>
      <c r="H107" s="34"/>
      <c r="I107" s="31"/>
      <c r="J107" s="32"/>
    </row>
    <row r="108" ht="16" customHeight="1">
      <c r="A108" t="s" s="26">
        <v>372</v>
      </c>
      <c r="B108" t="s" s="27">
        <v>41</v>
      </c>
      <c r="C108" t="s" s="27">
        <v>57</v>
      </c>
      <c r="D108" t="s" s="27">
        <v>373</v>
      </c>
      <c r="E108" t="s" s="27">
        <v>374</v>
      </c>
      <c r="F108" t="s" s="27">
        <v>45</v>
      </c>
      <c r="G108" s="33"/>
      <c r="H108" s="34"/>
      <c r="I108" s="31"/>
      <c r="J108" s="32"/>
    </row>
    <row r="109" ht="16" customHeight="1">
      <c r="A109" t="s" s="26">
        <v>375</v>
      </c>
      <c r="B109" t="s" s="27">
        <v>41</v>
      </c>
      <c r="C109" t="s" s="27">
        <v>42</v>
      </c>
      <c r="D109" t="s" s="27">
        <v>376</v>
      </c>
      <c r="E109" t="s" s="27">
        <v>377</v>
      </c>
      <c r="F109" t="s" s="27">
        <v>45</v>
      </c>
      <c r="G109" s="33"/>
      <c r="H109" s="34"/>
      <c r="I109" s="31"/>
      <c r="J109" s="32"/>
    </row>
    <row r="110" ht="16" customHeight="1">
      <c r="A110" t="s" s="26">
        <v>378</v>
      </c>
      <c r="B110" t="s" s="27">
        <v>41</v>
      </c>
      <c r="C110" t="s" s="27">
        <v>42</v>
      </c>
      <c r="D110" t="s" s="27">
        <v>379</v>
      </c>
      <c r="E110" t="s" s="27">
        <v>380</v>
      </c>
      <c r="F110" t="s" s="27">
        <v>45</v>
      </c>
      <c r="G110" s="33"/>
      <c r="H110" s="34"/>
      <c r="I110" s="31"/>
      <c r="J110" s="32"/>
    </row>
    <row r="111" ht="16" customHeight="1">
      <c r="A111" t="s" s="26">
        <v>381</v>
      </c>
      <c r="B111" t="s" s="27">
        <v>41</v>
      </c>
      <c r="C111" t="s" s="27">
        <v>42</v>
      </c>
      <c r="D111" t="s" s="27">
        <v>382</v>
      </c>
      <c r="E111" t="s" s="27">
        <v>383</v>
      </c>
      <c r="F111" t="s" s="27">
        <v>45</v>
      </c>
      <c r="G111" s="33"/>
      <c r="H111" s="34"/>
      <c r="I111" s="31"/>
      <c r="J111" s="32"/>
    </row>
    <row r="112" ht="16" customHeight="1">
      <c r="A112" t="s" s="26">
        <v>384</v>
      </c>
      <c r="B112" t="s" s="27">
        <v>41</v>
      </c>
      <c r="C112" t="s" s="27">
        <v>42</v>
      </c>
      <c r="D112" t="s" s="27">
        <v>385</v>
      </c>
      <c r="E112" t="s" s="27">
        <v>386</v>
      </c>
      <c r="F112" t="s" s="27">
        <v>45</v>
      </c>
      <c r="G112" s="33"/>
      <c r="H112" s="34"/>
      <c r="I112" s="31"/>
      <c r="J112" s="32"/>
    </row>
    <row r="113" ht="16" customHeight="1">
      <c r="A113" t="s" s="26">
        <v>387</v>
      </c>
      <c r="B113" t="s" s="27">
        <v>41</v>
      </c>
      <c r="C113" s="35"/>
      <c r="D113" t="s" s="27">
        <v>388</v>
      </c>
      <c r="E113" t="s" s="27">
        <v>389</v>
      </c>
      <c r="F113" t="s" s="27">
        <v>45</v>
      </c>
      <c r="G113" s="33"/>
      <c r="H113" s="34"/>
      <c r="I113" s="31"/>
      <c r="J113" s="32"/>
    </row>
    <row r="114" ht="24" customHeight="1">
      <c r="A114" t="s" s="26">
        <v>390</v>
      </c>
      <c r="B114" t="s" s="27">
        <v>41</v>
      </c>
      <c r="C114" t="s" s="27">
        <v>42</v>
      </c>
      <c r="D114" t="s" s="27">
        <v>391</v>
      </c>
      <c r="E114" t="s" s="27">
        <v>392</v>
      </c>
      <c r="F114" t="s" s="27">
        <v>45</v>
      </c>
      <c r="G114" s="33">
        <v>5</v>
      </c>
      <c r="H114" t="s" s="29">
        <v>393</v>
      </c>
      <c r="I114" s="31"/>
      <c r="J114" s="32"/>
    </row>
    <row r="115" ht="16" customHeight="1">
      <c r="A115" t="s" s="26">
        <v>394</v>
      </c>
      <c r="B115" t="s" s="27">
        <v>41</v>
      </c>
      <c r="C115" s="35"/>
      <c r="D115" t="s" s="27">
        <v>395</v>
      </c>
      <c r="E115" t="s" s="27">
        <v>396</v>
      </c>
      <c r="F115" t="s" s="27">
        <v>45</v>
      </c>
      <c r="G115" s="37"/>
      <c r="H115" s="38"/>
      <c r="I115" s="31"/>
      <c r="J115" s="32"/>
    </row>
    <row r="116" ht="16" customHeight="1">
      <c r="A116" t="s" s="26">
        <v>397</v>
      </c>
      <c r="B116" t="s" s="27">
        <v>41</v>
      </c>
      <c r="C116" t="s" s="27">
        <v>42</v>
      </c>
      <c r="D116" t="s" s="27">
        <v>398</v>
      </c>
      <c r="E116" t="s" s="27">
        <v>399</v>
      </c>
      <c r="F116" t="s" s="27">
        <v>45</v>
      </c>
      <c r="G116" s="33"/>
      <c r="H116" s="34"/>
      <c r="I116" s="31"/>
      <c r="J116" s="32"/>
    </row>
    <row r="117" ht="16" customHeight="1">
      <c r="A117" t="s" s="26">
        <v>400</v>
      </c>
      <c r="B117" t="s" s="27">
        <v>41</v>
      </c>
      <c r="C117" t="s" s="27">
        <v>42</v>
      </c>
      <c r="D117" t="s" s="27">
        <v>401</v>
      </c>
      <c r="E117" t="s" s="27">
        <v>402</v>
      </c>
      <c r="F117" t="s" s="27">
        <v>45</v>
      </c>
      <c r="G117" s="33">
        <v>2</v>
      </c>
      <c r="H117" t="s" s="29">
        <v>403</v>
      </c>
      <c r="I117" s="31"/>
      <c r="J117" s="32"/>
    </row>
    <row r="118" ht="16" customHeight="1">
      <c r="A118" t="s" s="26">
        <v>404</v>
      </c>
      <c r="B118" t="s" s="27">
        <v>41</v>
      </c>
      <c r="C118" t="s" s="27">
        <v>42</v>
      </c>
      <c r="D118" t="s" s="27">
        <v>405</v>
      </c>
      <c r="E118" t="s" s="27">
        <v>406</v>
      </c>
      <c r="F118" t="s" s="27">
        <v>45</v>
      </c>
      <c r="G118" s="33"/>
      <c r="H118" s="34"/>
      <c r="I118" s="31"/>
      <c r="J118" s="32"/>
    </row>
    <row r="119" ht="16" customHeight="1">
      <c r="A119" t="s" s="26">
        <v>407</v>
      </c>
      <c r="B119" t="s" s="27">
        <v>41</v>
      </c>
      <c r="C119" t="s" s="27">
        <v>42</v>
      </c>
      <c r="D119" t="s" s="27">
        <v>408</v>
      </c>
      <c r="E119" t="s" s="27">
        <v>409</v>
      </c>
      <c r="F119" t="s" s="27">
        <v>45</v>
      </c>
      <c r="G119" s="33"/>
      <c r="H119" s="34"/>
      <c r="I119" s="31"/>
      <c r="J119" s="32"/>
    </row>
    <row r="120" ht="16" customHeight="1">
      <c r="A120" t="s" s="26">
        <v>410</v>
      </c>
      <c r="B120" t="s" s="27">
        <v>41</v>
      </c>
      <c r="C120" t="s" s="27">
        <v>42</v>
      </c>
      <c r="D120" t="s" s="27">
        <v>411</v>
      </c>
      <c r="E120" t="s" s="27">
        <v>412</v>
      </c>
      <c r="F120" t="s" s="27">
        <v>45</v>
      </c>
      <c r="G120" s="33" cm="1">
        <f t="array" ref="G120">RAND()*6</f>
        <v>1.86664974429932</v>
      </c>
      <c r="H120" s="34"/>
      <c r="I120" s="31"/>
      <c r="J120" s="32"/>
    </row>
    <row r="121" ht="16" customHeight="1">
      <c r="A121" t="s" s="26">
        <v>413</v>
      </c>
      <c r="B121" t="s" s="27">
        <v>41</v>
      </c>
      <c r="C121" t="s" s="27">
        <v>42</v>
      </c>
      <c r="D121" t="s" s="27">
        <v>414</v>
      </c>
      <c r="E121" t="s" s="27">
        <v>415</v>
      </c>
      <c r="F121" t="s" s="27">
        <v>45</v>
      </c>
      <c r="G121" s="33" cm="1">
        <f t="array" ref="G121">RAND()*6</f>
        <v>1.06358250416154</v>
      </c>
      <c r="H121" s="34"/>
      <c r="I121" s="31"/>
      <c r="J121" s="32"/>
    </row>
    <row r="122" ht="16" customHeight="1">
      <c r="A122" t="s" s="26">
        <v>416</v>
      </c>
      <c r="B122" t="s" s="27">
        <v>41</v>
      </c>
      <c r="C122" t="s" s="27">
        <v>42</v>
      </c>
      <c r="D122" t="s" s="27">
        <v>417</v>
      </c>
      <c r="E122" t="s" s="27">
        <v>418</v>
      </c>
      <c r="F122" t="s" s="27">
        <v>45</v>
      </c>
      <c r="G122" s="33" cm="1">
        <f t="array" ref="G122">RAND()*6</f>
        <v>1.13548415257455</v>
      </c>
      <c r="H122" s="34"/>
      <c r="I122" s="31"/>
      <c r="J122" s="32"/>
    </row>
    <row r="123" ht="16" customHeight="1">
      <c r="A123" t="s" s="26">
        <v>419</v>
      </c>
      <c r="B123" t="s" s="27">
        <v>41</v>
      </c>
      <c r="C123" t="s" s="27">
        <v>42</v>
      </c>
      <c r="D123" t="s" s="27">
        <v>420</v>
      </c>
      <c r="E123" t="s" s="27">
        <v>421</v>
      </c>
      <c r="F123" t="s" s="27">
        <v>45</v>
      </c>
      <c r="G123" s="33" cm="1">
        <f t="array" ref="G123">RAND()*6</f>
        <v>3.31742826715991</v>
      </c>
      <c r="H123" s="34"/>
      <c r="I123" s="31"/>
      <c r="J123" s="32"/>
    </row>
    <row r="124" ht="16" customHeight="1">
      <c r="A124" t="s" s="26">
        <v>422</v>
      </c>
      <c r="B124" t="s" s="27">
        <v>41</v>
      </c>
      <c r="C124" t="s" s="27">
        <v>423</v>
      </c>
      <c r="D124" t="s" s="27">
        <v>424</v>
      </c>
      <c r="E124" t="s" s="27">
        <v>425</v>
      </c>
      <c r="F124" t="s" s="27">
        <v>45</v>
      </c>
      <c r="G124" s="33" cm="1">
        <f t="array" ref="G124">RAND()*6</f>
        <v>2.58227736151572</v>
      </c>
      <c r="H124" s="34"/>
      <c r="I124" s="31"/>
      <c r="J124" s="32"/>
    </row>
    <row r="125" ht="16" customHeight="1">
      <c r="A125" t="s" s="26">
        <v>426</v>
      </c>
      <c r="B125" t="s" s="27">
        <v>41</v>
      </c>
      <c r="C125" t="s" s="27">
        <v>73</v>
      </c>
      <c r="D125" t="s" s="27">
        <v>427</v>
      </c>
      <c r="E125" t="s" s="27">
        <v>428</v>
      </c>
      <c r="F125" t="s" s="27">
        <v>45</v>
      </c>
      <c r="G125" s="33" cm="1">
        <f t="array" ref="G125">RAND()*6</f>
        <v>5.55774871133406</v>
      </c>
      <c r="H125" s="34"/>
      <c r="I125" s="31"/>
      <c r="J125" s="32"/>
    </row>
    <row r="126" ht="16" customHeight="1">
      <c r="A126" t="s" s="26">
        <v>429</v>
      </c>
      <c r="B126" t="s" s="27">
        <v>41</v>
      </c>
      <c r="C126" t="s" s="27">
        <v>57</v>
      </c>
      <c r="D126" t="s" s="27">
        <v>430</v>
      </c>
      <c r="E126" t="s" s="27">
        <v>431</v>
      </c>
      <c r="F126" t="s" s="27">
        <v>45</v>
      </c>
      <c r="G126" s="33" cm="1">
        <f t="array" ref="G126">RAND()*6</f>
        <v>5.16789584684439</v>
      </c>
      <c r="H126" t="s" s="29">
        <v>432</v>
      </c>
      <c r="I126" s="31"/>
      <c r="J126" s="32"/>
    </row>
    <row r="127" ht="16" customHeight="1">
      <c r="A127" t="s" s="26">
        <v>433</v>
      </c>
      <c r="B127" t="s" s="27">
        <v>41</v>
      </c>
      <c r="C127" t="s" s="27">
        <v>42</v>
      </c>
      <c r="D127" t="s" s="27">
        <v>434</v>
      </c>
      <c r="E127" t="s" s="27">
        <v>435</v>
      </c>
      <c r="F127" t="s" s="27">
        <v>45</v>
      </c>
      <c r="G127" s="33" cm="1">
        <f t="array" ref="G127">RAND()*6</f>
        <v>5.24078619377725</v>
      </c>
      <c r="H127" t="s" s="29">
        <v>432</v>
      </c>
      <c r="I127" s="31"/>
      <c r="J127" s="32"/>
    </row>
    <row r="128" ht="16" customHeight="1">
      <c r="A128" t="s" s="26">
        <v>436</v>
      </c>
      <c r="B128" t="s" s="27">
        <v>41</v>
      </c>
      <c r="C128" t="s" s="27">
        <v>42</v>
      </c>
      <c r="D128" t="s" s="27">
        <v>437</v>
      </c>
      <c r="E128" t="s" s="27">
        <v>438</v>
      </c>
      <c r="F128" t="s" s="27">
        <v>45</v>
      </c>
      <c r="G128" s="33" cm="1">
        <f t="array" ref="G128">RAND()*6</f>
        <v>5.0184615251446</v>
      </c>
      <c r="H128" s="34"/>
      <c r="I128" s="31"/>
      <c r="J128" s="32"/>
    </row>
    <row r="129" ht="16" customHeight="1">
      <c r="A129" t="s" s="26">
        <v>439</v>
      </c>
      <c r="B129" t="s" s="27">
        <v>41</v>
      </c>
      <c r="C129" t="s" s="27">
        <v>42</v>
      </c>
      <c r="D129" t="s" s="27">
        <v>440</v>
      </c>
      <c r="E129" t="s" s="27">
        <v>441</v>
      </c>
      <c r="F129" t="s" s="27">
        <v>45</v>
      </c>
      <c r="G129" s="33" cm="1">
        <f t="array" ref="G129">RAND()*6</f>
        <v>4.71464218220768</v>
      </c>
      <c r="H129" s="34"/>
      <c r="I129" s="31"/>
      <c r="J129" s="32"/>
    </row>
    <row r="130" ht="16" customHeight="1">
      <c r="A130" t="s" s="26">
        <v>442</v>
      </c>
      <c r="B130" t="s" s="27">
        <v>41</v>
      </c>
      <c r="C130" s="35"/>
      <c r="D130" t="s" s="27">
        <v>443</v>
      </c>
      <c r="E130" t="s" s="27">
        <v>444</v>
      </c>
      <c r="F130" t="s" s="27">
        <v>45</v>
      </c>
      <c r="G130" s="33" cm="1">
        <f t="array" ref="G130">RAND()*6</f>
        <v>1.38470733138802</v>
      </c>
      <c r="H130" s="34"/>
      <c r="I130" s="31"/>
      <c r="J130" s="32"/>
    </row>
    <row r="131" ht="16" customHeight="1">
      <c r="A131" t="s" s="26">
        <v>445</v>
      </c>
      <c r="B131" t="s" s="27">
        <v>41</v>
      </c>
      <c r="C131" t="s" s="27">
        <v>42</v>
      </c>
      <c r="D131" t="s" s="27">
        <v>446</v>
      </c>
      <c r="E131" t="s" s="27">
        <v>447</v>
      </c>
      <c r="F131" t="s" s="27">
        <v>45</v>
      </c>
      <c r="G131" s="33" cm="1">
        <f t="array" ref="G131">RAND()*6</f>
        <v>3.44283076787474</v>
      </c>
      <c r="H131" s="34"/>
      <c r="I131" s="31"/>
      <c r="J131" s="32"/>
    </row>
    <row r="132" ht="16" customHeight="1">
      <c r="A132" t="s" s="26">
        <v>448</v>
      </c>
      <c r="B132" t="s" s="27">
        <v>41</v>
      </c>
      <c r="C132" t="s" s="27">
        <v>449</v>
      </c>
      <c r="D132" t="s" s="27">
        <v>450</v>
      </c>
      <c r="E132" t="s" s="27">
        <v>451</v>
      </c>
      <c r="F132" t="s" s="27">
        <v>45</v>
      </c>
      <c r="G132" s="33" cm="1">
        <f t="array" ref="G132">RAND()*6</f>
        <v>4.79379032656899</v>
      </c>
      <c r="H132" s="34"/>
      <c r="I132" s="31"/>
      <c r="J132" s="32"/>
    </row>
    <row r="133" ht="16" customHeight="1">
      <c r="A133" t="s" s="26">
        <v>452</v>
      </c>
      <c r="B133" t="s" s="27">
        <v>41</v>
      </c>
      <c r="C133" t="s" s="27">
        <v>42</v>
      </c>
      <c r="D133" t="s" s="27">
        <v>453</v>
      </c>
      <c r="E133" t="s" s="27">
        <v>454</v>
      </c>
      <c r="F133" t="s" s="27">
        <v>45</v>
      </c>
      <c r="G133" s="33" cm="1">
        <f t="array" ref="G133">RAND()*6</f>
        <v>0.9750176146049619</v>
      </c>
      <c r="H133" s="34"/>
      <c r="I133" s="31"/>
      <c r="J133" s="32"/>
    </row>
    <row r="134" ht="16" customHeight="1">
      <c r="A134" t="s" s="26">
        <v>455</v>
      </c>
      <c r="B134" t="s" s="27">
        <v>41</v>
      </c>
      <c r="C134" t="s" s="27">
        <v>42</v>
      </c>
      <c r="D134" t="s" s="27">
        <v>456</v>
      </c>
      <c r="E134" t="s" s="27">
        <v>457</v>
      </c>
      <c r="F134" t="s" s="27">
        <v>45</v>
      </c>
      <c r="G134" s="33" cm="1">
        <f t="array" ref="G134">RAND()*6</f>
        <v>3.39849973818643</v>
      </c>
      <c r="H134" s="34"/>
      <c r="I134" s="31"/>
      <c r="J134" s="32"/>
    </row>
    <row r="135" ht="16" customHeight="1">
      <c r="A135" t="s" s="26">
        <v>458</v>
      </c>
      <c r="B135" t="s" s="27">
        <v>41</v>
      </c>
      <c r="C135" s="35"/>
      <c r="D135" t="s" s="27">
        <v>459</v>
      </c>
      <c r="E135" t="s" s="27">
        <v>460</v>
      </c>
      <c r="F135" t="s" s="27">
        <v>45</v>
      </c>
      <c r="G135" s="33"/>
      <c r="H135" s="34"/>
      <c r="I135" s="31"/>
      <c r="J135" s="32"/>
    </row>
    <row r="136" ht="16" customHeight="1">
      <c r="A136" t="s" s="26">
        <v>461</v>
      </c>
      <c r="B136" t="s" s="27">
        <v>41</v>
      </c>
      <c r="C136" s="35"/>
      <c r="D136" t="s" s="27">
        <v>462</v>
      </c>
      <c r="E136" t="s" s="27">
        <v>463</v>
      </c>
      <c r="F136" t="s" s="27">
        <v>45</v>
      </c>
      <c r="G136" s="33"/>
      <c r="H136" s="34"/>
      <c r="I136" s="31"/>
      <c r="J136" s="32"/>
    </row>
    <row r="137" ht="16" customHeight="1">
      <c r="A137" t="s" s="26">
        <v>464</v>
      </c>
      <c r="B137" t="s" s="27">
        <v>41</v>
      </c>
      <c r="C137" s="35"/>
      <c r="D137" t="s" s="27">
        <v>465</v>
      </c>
      <c r="E137" t="s" s="27">
        <v>466</v>
      </c>
      <c r="F137" t="s" s="27">
        <v>45</v>
      </c>
      <c r="G137" s="33"/>
      <c r="H137" s="34"/>
      <c r="I137" s="31"/>
      <c r="J137" s="32"/>
    </row>
    <row r="138" ht="24" customHeight="1">
      <c r="A138" t="s" s="26">
        <v>467</v>
      </c>
      <c r="B138" t="s" s="27">
        <v>41</v>
      </c>
      <c r="C138" t="s" s="27">
        <v>49</v>
      </c>
      <c r="D138" t="s" s="27">
        <v>468</v>
      </c>
      <c r="E138" t="s" s="27">
        <v>469</v>
      </c>
      <c r="F138" t="s" s="27">
        <v>45</v>
      </c>
      <c r="G138" s="33"/>
      <c r="H138" s="34"/>
      <c r="I138" s="31"/>
      <c r="J138" s="32"/>
    </row>
    <row r="139" ht="16" customHeight="1">
      <c r="A139" t="s" s="26">
        <v>470</v>
      </c>
      <c r="B139" t="s" s="27">
        <v>41</v>
      </c>
      <c r="C139" t="s" s="27">
        <v>42</v>
      </c>
      <c r="D139" t="s" s="27">
        <v>471</v>
      </c>
      <c r="E139" t="s" s="27">
        <v>472</v>
      </c>
      <c r="F139" t="s" s="27">
        <v>45</v>
      </c>
      <c r="G139" s="33"/>
      <c r="H139" s="34"/>
      <c r="I139" s="31"/>
      <c r="J139" s="32"/>
    </row>
    <row r="140" ht="16" customHeight="1">
      <c r="A140" t="s" s="26">
        <v>473</v>
      </c>
      <c r="B140" t="s" s="27">
        <v>41</v>
      </c>
      <c r="C140" t="s" s="27">
        <v>42</v>
      </c>
      <c r="D140" t="s" s="27">
        <v>474</v>
      </c>
      <c r="E140" t="s" s="27">
        <v>475</v>
      </c>
      <c r="F140" t="s" s="27">
        <v>45</v>
      </c>
      <c r="G140" s="33"/>
      <c r="H140" s="34"/>
      <c r="I140" s="31"/>
      <c r="J140" s="32"/>
    </row>
    <row r="141" ht="16" customHeight="1">
      <c r="A141" t="s" s="26">
        <v>476</v>
      </c>
      <c r="B141" t="s" s="27">
        <v>41</v>
      </c>
      <c r="C141" t="s" s="27">
        <v>42</v>
      </c>
      <c r="D141" t="s" s="27">
        <v>477</v>
      </c>
      <c r="E141" t="s" s="27">
        <v>478</v>
      </c>
      <c r="F141" t="s" s="27">
        <v>45</v>
      </c>
      <c r="G141" s="33"/>
      <c r="H141" s="34"/>
      <c r="I141" s="31"/>
      <c r="J141" s="32"/>
    </row>
    <row r="142" ht="16" customHeight="1">
      <c r="A142" t="s" s="26">
        <v>479</v>
      </c>
      <c r="B142" t="s" s="27">
        <v>41</v>
      </c>
      <c r="C142" t="s" s="27">
        <v>42</v>
      </c>
      <c r="D142" t="s" s="27">
        <v>480</v>
      </c>
      <c r="E142" t="s" s="27">
        <v>481</v>
      </c>
      <c r="F142" t="s" s="27">
        <v>45</v>
      </c>
      <c r="G142" s="33"/>
      <c r="H142" s="34"/>
      <c r="I142" s="31"/>
      <c r="J142" s="32"/>
    </row>
    <row r="143" ht="16" customHeight="1">
      <c r="A143" t="s" s="26">
        <v>482</v>
      </c>
      <c r="B143" t="s" s="27">
        <v>41</v>
      </c>
      <c r="C143" t="s" s="27">
        <v>42</v>
      </c>
      <c r="D143" t="s" s="27">
        <v>483</v>
      </c>
      <c r="E143" t="s" s="27">
        <v>484</v>
      </c>
      <c r="F143" t="s" s="27">
        <v>45</v>
      </c>
      <c r="G143" s="33"/>
      <c r="H143" s="34"/>
      <c r="I143" s="31"/>
      <c r="J143" s="32"/>
    </row>
    <row r="144" ht="16" customHeight="1">
      <c r="A144" t="s" s="26">
        <v>485</v>
      </c>
      <c r="B144" t="s" s="27">
        <v>41</v>
      </c>
      <c r="C144" t="s" s="27">
        <v>42</v>
      </c>
      <c r="D144" t="s" s="27">
        <v>486</v>
      </c>
      <c r="E144" t="s" s="27">
        <v>487</v>
      </c>
      <c r="F144" t="s" s="27">
        <v>45</v>
      </c>
      <c r="G144" s="33"/>
      <c r="H144" s="34"/>
      <c r="I144" s="31"/>
      <c r="J144" s="32"/>
    </row>
    <row r="145" ht="16" customHeight="1">
      <c r="A145" t="s" s="26">
        <v>488</v>
      </c>
      <c r="B145" t="s" s="27">
        <v>41</v>
      </c>
      <c r="C145" t="s" s="27">
        <v>42</v>
      </c>
      <c r="D145" t="s" s="27">
        <v>489</v>
      </c>
      <c r="E145" t="s" s="27">
        <v>490</v>
      </c>
      <c r="F145" t="s" s="27">
        <v>45</v>
      </c>
      <c r="G145" s="33"/>
      <c r="H145" s="34"/>
      <c r="I145" s="31"/>
      <c r="J145" s="32"/>
    </row>
    <row r="146" ht="16" customHeight="1">
      <c r="A146" t="s" s="26">
        <v>491</v>
      </c>
      <c r="B146" t="s" s="27">
        <v>41</v>
      </c>
      <c r="C146" s="35"/>
      <c r="D146" t="s" s="27">
        <v>492</v>
      </c>
      <c r="E146" t="s" s="27">
        <v>493</v>
      </c>
      <c r="F146" t="s" s="27">
        <v>45</v>
      </c>
      <c r="G146" s="33"/>
      <c r="H146" s="34"/>
      <c r="I146" s="31"/>
      <c r="J146" s="32"/>
    </row>
    <row r="147" ht="16" customHeight="1">
      <c r="A147" t="s" s="26">
        <v>494</v>
      </c>
      <c r="B147" t="s" s="27">
        <v>41</v>
      </c>
      <c r="C147" t="s" s="27">
        <v>57</v>
      </c>
      <c r="D147" t="s" s="27">
        <v>495</v>
      </c>
      <c r="E147" t="s" s="27">
        <v>496</v>
      </c>
      <c r="F147" t="s" s="27">
        <v>45</v>
      </c>
      <c r="G147" s="33"/>
      <c r="H147" s="34"/>
      <c r="I147" s="31"/>
      <c r="J147" s="32"/>
    </row>
    <row r="148" ht="16" customHeight="1">
      <c r="A148" t="s" s="26">
        <v>497</v>
      </c>
      <c r="B148" t="s" s="27">
        <v>41</v>
      </c>
      <c r="C148" s="35"/>
      <c r="D148" t="s" s="27">
        <v>498</v>
      </c>
      <c r="E148" t="s" s="27">
        <v>499</v>
      </c>
      <c r="F148" t="s" s="27">
        <v>45</v>
      </c>
      <c r="G148" s="33"/>
      <c r="H148" s="34"/>
      <c r="I148" s="31"/>
      <c r="J148" s="32"/>
    </row>
    <row r="149" ht="16" customHeight="1">
      <c r="A149" t="s" s="26">
        <v>500</v>
      </c>
      <c r="B149" t="s" s="27">
        <v>41</v>
      </c>
      <c r="C149" t="s" s="27">
        <v>42</v>
      </c>
      <c r="D149" t="s" s="27">
        <v>501</v>
      </c>
      <c r="E149" t="s" s="27">
        <v>502</v>
      </c>
      <c r="F149" t="s" s="27">
        <v>45</v>
      </c>
      <c r="G149" s="33"/>
      <c r="H149" s="34"/>
      <c r="I149" s="31"/>
      <c r="J149" s="32"/>
    </row>
    <row r="150" ht="16" customHeight="1">
      <c r="A150" t="s" s="26">
        <v>503</v>
      </c>
      <c r="B150" t="s" s="27">
        <v>41</v>
      </c>
      <c r="C150" t="s" s="27">
        <v>42</v>
      </c>
      <c r="D150" t="s" s="27">
        <v>504</v>
      </c>
      <c r="E150" t="s" s="27">
        <v>505</v>
      </c>
      <c r="F150" t="s" s="27">
        <v>45</v>
      </c>
      <c r="G150" s="33"/>
      <c r="H150" s="34"/>
      <c r="I150" s="31"/>
      <c r="J150" s="32"/>
    </row>
    <row r="151" ht="16" customHeight="1">
      <c r="A151" t="s" s="26">
        <v>506</v>
      </c>
      <c r="B151" t="s" s="27">
        <v>41</v>
      </c>
      <c r="C151" t="s" s="27">
        <v>57</v>
      </c>
      <c r="D151" t="s" s="27">
        <v>507</v>
      </c>
      <c r="E151" t="s" s="27">
        <v>508</v>
      </c>
      <c r="F151" t="s" s="27">
        <v>45</v>
      </c>
      <c r="G151" s="33"/>
      <c r="H151" s="34"/>
      <c r="I151" s="31"/>
      <c r="J151" s="32"/>
    </row>
    <row r="152" ht="16" customHeight="1">
      <c r="A152" t="s" s="26">
        <v>509</v>
      </c>
      <c r="B152" t="s" s="27">
        <v>41</v>
      </c>
      <c r="C152" t="s" s="27">
        <v>73</v>
      </c>
      <c r="D152" t="s" s="27">
        <v>510</v>
      </c>
      <c r="E152" t="s" s="27">
        <v>511</v>
      </c>
      <c r="F152" t="s" s="27">
        <v>45</v>
      </c>
      <c r="G152" s="33"/>
      <c r="H152" s="34"/>
      <c r="I152" s="31"/>
      <c r="J152" s="32"/>
    </row>
    <row r="153" ht="16" customHeight="1">
      <c r="A153" t="s" s="26">
        <v>512</v>
      </c>
      <c r="B153" t="s" s="27">
        <v>41</v>
      </c>
      <c r="C153" t="s" s="27">
        <v>42</v>
      </c>
      <c r="D153" t="s" s="27">
        <v>513</v>
      </c>
      <c r="E153" t="s" s="27">
        <v>514</v>
      </c>
      <c r="F153" t="s" s="27">
        <v>45</v>
      </c>
      <c r="G153" s="33"/>
      <c r="H153" s="34"/>
      <c r="I153" s="31"/>
      <c r="J153" s="32"/>
    </row>
    <row r="154" ht="24" customHeight="1">
      <c r="A154" t="s" s="26">
        <v>515</v>
      </c>
      <c r="B154" t="s" s="27">
        <v>41</v>
      </c>
      <c r="C154" s="35"/>
      <c r="D154" t="s" s="27">
        <v>516</v>
      </c>
      <c r="E154" t="s" s="27">
        <v>517</v>
      </c>
      <c r="F154" t="s" s="27">
        <v>45</v>
      </c>
      <c r="G154" s="33"/>
      <c r="H154" s="34"/>
      <c r="I154" s="31"/>
      <c r="J154" s="32"/>
    </row>
    <row r="155" ht="16" customHeight="1">
      <c r="A155" t="s" s="26">
        <v>518</v>
      </c>
      <c r="B155" t="s" s="27">
        <v>41</v>
      </c>
      <c r="C155" t="s" s="27">
        <v>42</v>
      </c>
      <c r="D155" t="s" s="27">
        <v>519</v>
      </c>
      <c r="E155" t="s" s="27">
        <v>520</v>
      </c>
      <c r="F155" t="s" s="27">
        <v>45</v>
      </c>
      <c r="G155" s="33"/>
      <c r="H155" s="34"/>
      <c r="I155" s="31"/>
      <c r="J155" s="32"/>
    </row>
    <row r="156" ht="16" customHeight="1">
      <c r="A156" t="s" s="26">
        <v>521</v>
      </c>
      <c r="B156" t="s" s="27">
        <v>41</v>
      </c>
      <c r="C156" t="s" s="27">
        <v>42</v>
      </c>
      <c r="D156" t="s" s="27">
        <v>522</v>
      </c>
      <c r="E156" t="s" s="27">
        <v>523</v>
      </c>
      <c r="F156" t="s" s="27">
        <v>45</v>
      </c>
      <c r="G156" s="33"/>
      <c r="H156" s="34"/>
      <c r="I156" s="31"/>
      <c r="J156" s="32"/>
    </row>
    <row r="157" ht="16" customHeight="1">
      <c r="A157" t="s" s="26">
        <v>524</v>
      </c>
      <c r="B157" t="s" s="27">
        <v>41</v>
      </c>
      <c r="C157" t="s" s="27">
        <v>525</v>
      </c>
      <c r="D157" t="s" s="27">
        <v>526</v>
      </c>
      <c r="E157" t="s" s="27">
        <v>527</v>
      </c>
      <c r="F157" t="s" s="27">
        <v>45</v>
      </c>
      <c r="G157" s="33"/>
      <c r="H157" s="34"/>
      <c r="I157" s="31"/>
      <c r="J157" s="32"/>
    </row>
    <row r="158" ht="16" customHeight="1">
      <c r="A158" t="s" s="26">
        <v>528</v>
      </c>
      <c r="B158" t="s" s="27">
        <v>41</v>
      </c>
      <c r="C158" t="s" s="27">
        <v>42</v>
      </c>
      <c r="D158" t="s" s="27">
        <v>529</v>
      </c>
      <c r="E158" t="s" s="27">
        <v>530</v>
      </c>
      <c r="F158" t="s" s="27">
        <v>45</v>
      </c>
      <c r="G158" s="33"/>
      <c r="H158" s="34"/>
      <c r="I158" s="31"/>
      <c r="J158" s="32"/>
    </row>
    <row r="159" ht="16" customHeight="1">
      <c r="A159" t="s" s="26">
        <v>531</v>
      </c>
      <c r="B159" t="s" s="27">
        <v>41</v>
      </c>
      <c r="C159" t="s" s="27">
        <v>42</v>
      </c>
      <c r="D159" t="s" s="27">
        <v>532</v>
      </c>
      <c r="E159" t="s" s="27">
        <v>533</v>
      </c>
      <c r="F159" t="s" s="27">
        <v>45</v>
      </c>
      <c r="G159" s="33"/>
      <c r="H159" s="34"/>
      <c r="I159" s="31"/>
      <c r="J159" s="32"/>
    </row>
    <row r="160" ht="16" customHeight="1">
      <c r="A160" t="s" s="26">
        <v>534</v>
      </c>
      <c r="B160" t="s" s="27">
        <v>41</v>
      </c>
      <c r="C160" t="s" s="27">
        <v>42</v>
      </c>
      <c r="D160" t="s" s="27">
        <v>535</v>
      </c>
      <c r="E160" t="s" s="27">
        <v>536</v>
      </c>
      <c r="F160" t="s" s="27">
        <v>45</v>
      </c>
      <c r="G160" s="33"/>
      <c r="H160" s="34"/>
      <c r="I160" s="31"/>
      <c r="J160" s="32"/>
    </row>
    <row r="161" ht="16" customHeight="1">
      <c r="A161" t="s" s="26">
        <v>537</v>
      </c>
      <c r="B161" t="s" s="27">
        <v>41</v>
      </c>
      <c r="C161" t="s" s="27">
        <v>42</v>
      </c>
      <c r="D161" t="s" s="27">
        <v>538</v>
      </c>
      <c r="E161" t="s" s="27">
        <v>539</v>
      </c>
      <c r="F161" t="s" s="27">
        <v>45</v>
      </c>
      <c r="G161" s="33"/>
      <c r="H161" s="34"/>
      <c r="I161" s="31"/>
      <c r="J161" s="32"/>
    </row>
    <row r="162" ht="16" customHeight="1">
      <c r="A162" t="s" s="26">
        <v>540</v>
      </c>
      <c r="B162" t="s" s="27">
        <v>41</v>
      </c>
      <c r="C162" t="s" s="27">
        <v>42</v>
      </c>
      <c r="D162" t="s" s="27">
        <v>541</v>
      </c>
      <c r="E162" t="s" s="27">
        <v>542</v>
      </c>
      <c r="F162" t="s" s="27">
        <v>45</v>
      </c>
      <c r="G162" s="33"/>
      <c r="H162" s="34"/>
      <c r="I162" s="31"/>
      <c r="J162" s="32"/>
    </row>
    <row r="163" ht="16" customHeight="1">
      <c r="A163" t="s" s="26">
        <v>543</v>
      </c>
      <c r="B163" t="s" s="27">
        <v>41</v>
      </c>
      <c r="C163" t="s" s="27">
        <v>57</v>
      </c>
      <c r="D163" t="s" s="27">
        <v>544</v>
      </c>
      <c r="E163" t="s" s="27">
        <v>545</v>
      </c>
      <c r="F163" t="s" s="27">
        <v>45</v>
      </c>
      <c r="G163" s="33"/>
      <c r="H163" s="34"/>
      <c r="I163" s="31"/>
      <c r="J163" s="32"/>
    </row>
    <row r="164" ht="16" customHeight="1">
      <c r="A164" t="s" s="26">
        <v>546</v>
      </c>
      <c r="B164" t="s" s="27">
        <v>41</v>
      </c>
      <c r="C164" t="s" s="27">
        <v>49</v>
      </c>
      <c r="D164" t="s" s="27">
        <v>547</v>
      </c>
      <c r="E164" t="s" s="27">
        <v>548</v>
      </c>
      <c r="F164" t="s" s="27">
        <v>45</v>
      </c>
      <c r="G164" s="33"/>
      <c r="H164" s="34"/>
      <c r="I164" s="31"/>
      <c r="J164" s="32"/>
    </row>
    <row r="165" ht="16" customHeight="1">
      <c r="A165" t="s" s="26">
        <v>549</v>
      </c>
      <c r="B165" t="s" s="27">
        <v>41</v>
      </c>
      <c r="C165" t="s" s="27">
        <v>42</v>
      </c>
      <c r="D165" t="s" s="27">
        <v>550</v>
      </c>
      <c r="E165" t="s" s="27">
        <v>551</v>
      </c>
      <c r="F165" t="s" s="27">
        <v>45</v>
      </c>
      <c r="G165" s="33"/>
      <c r="H165" s="34"/>
      <c r="I165" s="31"/>
      <c r="J165" s="32"/>
    </row>
    <row r="166" ht="16" customHeight="1">
      <c r="A166" t="s" s="26">
        <v>552</v>
      </c>
      <c r="B166" t="s" s="27">
        <v>41</v>
      </c>
      <c r="C166" t="s" s="27">
        <v>42</v>
      </c>
      <c r="D166" t="s" s="27">
        <v>553</v>
      </c>
      <c r="E166" t="s" s="27">
        <v>554</v>
      </c>
      <c r="F166" t="s" s="27">
        <v>45</v>
      </c>
      <c r="G166" s="33"/>
      <c r="H166" s="34"/>
      <c r="I166" s="31"/>
      <c r="J166" s="32"/>
    </row>
    <row r="167" ht="16" customHeight="1">
      <c r="A167" t="s" s="26">
        <v>555</v>
      </c>
      <c r="B167" t="s" s="27">
        <v>41</v>
      </c>
      <c r="C167" s="35"/>
      <c r="D167" t="s" s="27">
        <v>556</v>
      </c>
      <c r="E167" t="s" s="27">
        <v>557</v>
      </c>
      <c r="F167" t="s" s="27">
        <v>45</v>
      </c>
      <c r="G167" s="33"/>
      <c r="H167" s="34"/>
      <c r="I167" s="31"/>
      <c r="J167" s="32"/>
    </row>
    <row r="168" ht="16" customHeight="1">
      <c r="A168" t="s" s="26">
        <v>558</v>
      </c>
      <c r="B168" t="s" s="27">
        <v>41</v>
      </c>
      <c r="C168" t="s" s="27">
        <v>57</v>
      </c>
      <c r="D168" t="s" s="27">
        <v>559</v>
      </c>
      <c r="E168" t="s" s="27">
        <v>560</v>
      </c>
      <c r="F168" t="s" s="27">
        <v>45</v>
      </c>
      <c r="G168" s="33"/>
      <c r="H168" s="34"/>
      <c r="I168" s="31"/>
      <c r="J168" s="32"/>
    </row>
    <row r="169" ht="16" customHeight="1">
      <c r="A169" t="s" s="26">
        <v>561</v>
      </c>
      <c r="B169" t="s" s="27">
        <v>41</v>
      </c>
      <c r="C169" t="s" s="27">
        <v>42</v>
      </c>
      <c r="D169" t="s" s="27">
        <v>562</v>
      </c>
      <c r="E169" t="s" s="27">
        <v>563</v>
      </c>
      <c r="F169" t="s" s="27">
        <v>45</v>
      </c>
      <c r="G169" s="33"/>
      <c r="H169" s="34"/>
      <c r="I169" s="31"/>
      <c r="J169" s="32"/>
    </row>
    <row r="170" ht="16" customHeight="1">
      <c r="A170" t="s" s="26">
        <v>564</v>
      </c>
      <c r="B170" t="s" s="27">
        <v>41</v>
      </c>
      <c r="C170" t="s" s="27">
        <v>42</v>
      </c>
      <c r="D170" t="s" s="27">
        <v>565</v>
      </c>
      <c r="E170" t="s" s="27">
        <v>566</v>
      </c>
      <c r="F170" t="s" s="27">
        <v>45</v>
      </c>
      <c r="G170" s="33">
        <v>3</v>
      </c>
      <c r="H170" t="s" s="29">
        <v>567</v>
      </c>
      <c r="I170" s="31"/>
      <c r="J170" s="32"/>
    </row>
    <row r="171" ht="16" customHeight="1">
      <c r="A171" t="s" s="26">
        <v>568</v>
      </c>
      <c r="B171" t="s" s="27">
        <v>41</v>
      </c>
      <c r="C171" t="s" s="27">
        <v>42</v>
      </c>
      <c r="D171" t="s" s="27">
        <v>569</v>
      </c>
      <c r="E171" t="s" s="27">
        <v>570</v>
      </c>
      <c r="F171" t="s" s="27">
        <v>45</v>
      </c>
      <c r="G171" s="33">
        <v>1</v>
      </c>
      <c r="H171" t="s" s="29">
        <v>567</v>
      </c>
      <c r="I171" s="31"/>
      <c r="J171" s="32"/>
    </row>
    <row r="172" ht="24" customHeight="1">
      <c r="A172" t="s" s="26">
        <v>571</v>
      </c>
      <c r="B172" t="s" s="27">
        <v>41</v>
      </c>
      <c r="C172" t="s" s="27">
        <v>42</v>
      </c>
      <c r="D172" t="s" s="27">
        <v>572</v>
      </c>
      <c r="E172" t="s" s="27">
        <v>573</v>
      </c>
      <c r="F172" t="s" s="27">
        <v>45</v>
      </c>
      <c r="G172" s="33">
        <v>2</v>
      </c>
      <c r="H172" t="s" s="29">
        <v>567</v>
      </c>
      <c r="I172" s="31"/>
      <c r="J172" s="32"/>
    </row>
    <row r="173" ht="16" customHeight="1">
      <c r="A173" t="s" s="26">
        <v>574</v>
      </c>
      <c r="B173" t="s" s="27">
        <v>41</v>
      </c>
      <c r="C173" t="s" s="27">
        <v>42</v>
      </c>
      <c r="D173" t="s" s="27">
        <v>575</v>
      </c>
      <c r="E173" t="s" s="27">
        <v>576</v>
      </c>
      <c r="F173" t="s" s="27">
        <v>45</v>
      </c>
      <c r="G173" s="33">
        <v>1</v>
      </c>
      <c r="H173" t="s" s="29">
        <v>577</v>
      </c>
      <c r="I173" s="31"/>
      <c r="J173" s="32"/>
    </row>
    <row r="174" ht="16" customHeight="1">
      <c r="A174" t="s" s="26">
        <v>578</v>
      </c>
      <c r="B174" t="s" s="27">
        <v>41</v>
      </c>
      <c r="C174" t="s" s="27">
        <v>42</v>
      </c>
      <c r="D174" t="s" s="27">
        <v>579</v>
      </c>
      <c r="E174" t="s" s="27">
        <v>580</v>
      </c>
      <c r="F174" t="s" s="27">
        <v>45</v>
      </c>
      <c r="G174" t="s" s="28">
        <v>581</v>
      </c>
      <c r="H174" s="34"/>
      <c r="I174" s="31"/>
      <c r="J174" s="32"/>
    </row>
    <row r="175" ht="16" customHeight="1">
      <c r="A175" t="s" s="26">
        <v>582</v>
      </c>
      <c r="B175" t="s" s="27">
        <v>41</v>
      </c>
      <c r="C175" s="35"/>
      <c r="D175" t="s" s="27">
        <v>583</v>
      </c>
      <c r="E175" t="s" s="27">
        <v>584</v>
      </c>
      <c r="F175" t="s" s="27">
        <v>45</v>
      </c>
      <c r="G175" t="s" s="28">
        <v>585</v>
      </c>
      <c r="H175" s="34"/>
      <c r="I175" s="31"/>
      <c r="J175" s="32"/>
    </row>
    <row r="176" ht="16" customHeight="1">
      <c r="A176" t="s" s="26">
        <v>586</v>
      </c>
      <c r="B176" t="s" s="27">
        <v>41</v>
      </c>
      <c r="C176" t="s" s="27">
        <v>42</v>
      </c>
      <c r="D176" t="s" s="27">
        <v>587</v>
      </c>
      <c r="E176" t="s" s="27">
        <v>588</v>
      </c>
      <c r="F176" t="s" s="27">
        <v>45</v>
      </c>
      <c r="G176" s="33">
        <v>3</v>
      </c>
      <c r="H176" s="34"/>
      <c r="I176" s="31"/>
      <c r="J176" s="32"/>
    </row>
    <row r="177" ht="16" customHeight="1">
      <c r="A177" t="s" s="26">
        <v>589</v>
      </c>
      <c r="B177" t="s" s="27">
        <v>41</v>
      </c>
      <c r="C177" t="s" s="27">
        <v>42</v>
      </c>
      <c r="D177" t="s" s="27">
        <v>590</v>
      </c>
      <c r="E177" t="s" s="27">
        <v>591</v>
      </c>
      <c r="F177" t="s" s="27">
        <v>45</v>
      </c>
      <c r="G177" s="33">
        <v>4</v>
      </c>
      <c r="H177" s="34"/>
      <c r="I177" s="31"/>
      <c r="J177" s="32"/>
    </row>
    <row r="178" ht="16" customHeight="1">
      <c r="A178" t="s" s="26">
        <v>592</v>
      </c>
      <c r="B178" t="s" s="27">
        <v>41</v>
      </c>
      <c r="C178" t="s" s="27">
        <v>42</v>
      </c>
      <c r="D178" t="s" s="27">
        <v>593</v>
      </c>
      <c r="E178" t="s" s="27">
        <v>594</v>
      </c>
      <c r="F178" t="s" s="27">
        <v>45</v>
      </c>
      <c r="G178" s="33">
        <v>5</v>
      </c>
      <c r="H178" s="34"/>
      <c r="I178" s="31"/>
      <c r="J178" s="32"/>
    </row>
    <row r="179" ht="16" customHeight="1">
      <c r="A179" t="s" s="26">
        <v>595</v>
      </c>
      <c r="B179" t="s" s="27">
        <v>41</v>
      </c>
      <c r="C179" t="s" s="27">
        <v>42</v>
      </c>
      <c r="D179" t="s" s="27">
        <v>596</v>
      </c>
      <c r="E179" t="s" s="27">
        <v>597</v>
      </c>
      <c r="F179" t="s" s="27">
        <v>45</v>
      </c>
      <c r="G179" t="s" s="28">
        <v>67</v>
      </c>
      <c r="H179" s="34"/>
      <c r="I179" s="31"/>
      <c r="J179" s="32"/>
    </row>
    <row r="180" ht="16" customHeight="1">
      <c r="A180" t="s" s="26">
        <v>598</v>
      </c>
      <c r="B180" t="s" s="27">
        <v>41</v>
      </c>
      <c r="C180" s="35"/>
      <c r="D180" t="s" s="27">
        <v>599</v>
      </c>
      <c r="E180" t="s" s="27">
        <v>600</v>
      </c>
      <c r="F180" t="s" s="27">
        <v>45</v>
      </c>
      <c r="G180" t="s" s="28">
        <v>67</v>
      </c>
      <c r="H180" s="34"/>
      <c r="I180" s="31"/>
      <c r="J180" s="32"/>
    </row>
    <row r="181" ht="16" customHeight="1">
      <c r="A181" t="s" s="26">
        <v>601</v>
      </c>
      <c r="B181" t="s" s="27">
        <v>41</v>
      </c>
      <c r="C181" t="s" s="27">
        <v>42</v>
      </c>
      <c r="D181" t="s" s="27">
        <v>602</v>
      </c>
      <c r="E181" t="s" s="27">
        <v>603</v>
      </c>
      <c r="F181" t="s" s="27">
        <v>45</v>
      </c>
      <c r="G181" s="33">
        <v>4</v>
      </c>
      <c r="H181" s="34"/>
      <c r="I181" s="31"/>
      <c r="J181" s="32"/>
    </row>
    <row r="182" ht="16" customHeight="1">
      <c r="A182" t="s" s="26">
        <v>604</v>
      </c>
      <c r="B182" t="s" s="27">
        <v>41</v>
      </c>
      <c r="C182" t="s" s="27">
        <v>42</v>
      </c>
      <c r="D182" t="s" s="27">
        <v>605</v>
      </c>
      <c r="E182" t="s" s="27">
        <v>606</v>
      </c>
      <c r="F182" t="s" s="27">
        <v>45</v>
      </c>
      <c r="G182" s="33">
        <v>4</v>
      </c>
      <c r="H182" s="34"/>
      <c r="I182" s="31"/>
      <c r="J182" s="32"/>
    </row>
    <row r="183" ht="16" customHeight="1">
      <c r="A183" t="s" s="26">
        <v>607</v>
      </c>
      <c r="B183" t="s" s="27">
        <v>41</v>
      </c>
      <c r="C183" t="s" s="27">
        <v>42</v>
      </c>
      <c r="D183" t="s" s="27">
        <v>608</v>
      </c>
      <c r="E183" t="s" s="27">
        <v>609</v>
      </c>
      <c r="F183" t="s" s="27">
        <v>45</v>
      </c>
      <c r="G183" s="33">
        <v>5</v>
      </c>
      <c r="H183" s="34"/>
      <c r="I183" s="31"/>
      <c r="J183" s="32"/>
    </row>
    <row r="184" ht="16" customHeight="1">
      <c r="A184" t="s" s="26">
        <v>610</v>
      </c>
      <c r="B184" t="s" s="27">
        <v>41</v>
      </c>
      <c r="C184" t="s" s="27">
        <v>42</v>
      </c>
      <c r="D184" t="s" s="27">
        <v>611</v>
      </c>
      <c r="E184" t="s" s="27">
        <v>612</v>
      </c>
      <c r="F184" t="s" s="27">
        <v>45</v>
      </c>
      <c r="G184" s="33">
        <v>5</v>
      </c>
      <c r="H184" s="34"/>
      <c r="I184" s="31"/>
      <c r="J184" s="32"/>
    </row>
    <row r="185" ht="16" customHeight="1">
      <c r="A185" t="s" s="26">
        <v>613</v>
      </c>
      <c r="B185" t="s" s="27">
        <v>41</v>
      </c>
      <c r="C185" t="s" s="27">
        <v>42</v>
      </c>
      <c r="D185" t="s" s="27">
        <v>614</v>
      </c>
      <c r="E185" t="s" s="27">
        <v>615</v>
      </c>
      <c r="F185" t="s" s="27">
        <v>45</v>
      </c>
      <c r="G185" s="33">
        <v>5</v>
      </c>
      <c r="H185" s="34"/>
      <c r="I185" s="31"/>
      <c r="J185" s="32"/>
    </row>
    <row r="186" ht="16" customHeight="1">
      <c r="A186" t="s" s="26">
        <v>616</v>
      </c>
      <c r="B186" t="s" s="27">
        <v>41</v>
      </c>
      <c r="C186" t="s" s="27">
        <v>42</v>
      </c>
      <c r="D186" t="s" s="27">
        <v>617</v>
      </c>
      <c r="E186" t="s" s="27">
        <v>618</v>
      </c>
      <c r="F186" t="s" s="27">
        <v>45</v>
      </c>
      <c r="G186" s="33">
        <v>4</v>
      </c>
      <c r="H186" s="34"/>
      <c r="I186" s="31"/>
      <c r="J186" s="32"/>
    </row>
    <row r="187" ht="16" customHeight="1">
      <c r="A187" t="s" s="26">
        <v>619</v>
      </c>
      <c r="B187" t="s" s="27">
        <v>41</v>
      </c>
      <c r="C187" t="s" s="27">
        <v>42</v>
      </c>
      <c r="D187" t="s" s="27">
        <v>620</v>
      </c>
      <c r="E187" t="s" s="27">
        <v>621</v>
      </c>
      <c r="F187" t="s" s="27">
        <v>45</v>
      </c>
      <c r="G187" s="33">
        <v>4</v>
      </c>
      <c r="H187" s="34"/>
      <c r="I187" s="31"/>
      <c r="J187" s="32"/>
    </row>
    <row r="188" ht="16" customHeight="1">
      <c r="A188" t="s" s="26">
        <v>622</v>
      </c>
      <c r="B188" t="s" s="27">
        <v>41</v>
      </c>
      <c r="C188" t="s" s="27">
        <v>42</v>
      </c>
      <c r="D188" t="s" s="27">
        <v>623</v>
      </c>
      <c r="E188" t="s" s="27">
        <v>624</v>
      </c>
      <c r="F188" t="s" s="27">
        <v>45</v>
      </c>
      <c r="G188" s="33">
        <v>4</v>
      </c>
      <c r="H188" s="34"/>
      <c r="I188" s="31"/>
      <c r="J188" s="32"/>
    </row>
    <row r="189" ht="16" customHeight="1">
      <c r="A189" t="s" s="26">
        <v>625</v>
      </c>
      <c r="B189" t="s" s="27">
        <v>41</v>
      </c>
      <c r="C189" t="s" s="27">
        <v>42</v>
      </c>
      <c r="D189" t="s" s="27">
        <v>626</v>
      </c>
      <c r="E189" t="s" s="27">
        <v>627</v>
      </c>
      <c r="F189" t="s" s="27">
        <v>45</v>
      </c>
      <c r="G189" s="33">
        <v>5</v>
      </c>
      <c r="H189" t="s" s="29">
        <v>628</v>
      </c>
      <c r="I189" t="s" s="39">
        <v>629</v>
      </c>
      <c r="J189" s="32"/>
    </row>
    <row r="190" ht="16" customHeight="1">
      <c r="A190" t="s" s="26">
        <v>630</v>
      </c>
      <c r="B190" t="s" s="27">
        <v>41</v>
      </c>
      <c r="C190" t="s" s="27">
        <v>42</v>
      </c>
      <c r="D190" t="s" s="27">
        <v>631</v>
      </c>
      <c r="E190" t="s" s="27">
        <v>632</v>
      </c>
      <c r="F190" t="s" s="27">
        <v>45</v>
      </c>
      <c r="G190" s="33">
        <v>3</v>
      </c>
      <c r="H190" t="s" s="29">
        <v>628</v>
      </c>
      <c r="I190" t="s" s="39">
        <v>629</v>
      </c>
      <c r="J190" s="32"/>
    </row>
    <row r="191" ht="16" customHeight="1">
      <c r="A191" t="s" s="26">
        <v>633</v>
      </c>
      <c r="B191" t="s" s="27">
        <v>41</v>
      </c>
      <c r="C191" t="s" s="27">
        <v>42</v>
      </c>
      <c r="D191" t="s" s="27">
        <v>634</v>
      </c>
      <c r="E191" t="s" s="27">
        <v>635</v>
      </c>
      <c r="F191" t="s" s="27">
        <v>45</v>
      </c>
      <c r="G191" s="33">
        <v>5</v>
      </c>
      <c r="H191" t="s" s="29">
        <v>636</v>
      </c>
      <c r="I191" s="31"/>
      <c r="J191" s="32"/>
    </row>
    <row r="192" ht="16" customHeight="1">
      <c r="A192" t="s" s="26">
        <v>637</v>
      </c>
      <c r="B192" t="s" s="27">
        <v>41</v>
      </c>
      <c r="C192" s="35"/>
      <c r="D192" t="s" s="27">
        <v>638</v>
      </c>
      <c r="E192" t="s" s="27">
        <v>639</v>
      </c>
      <c r="F192" t="s" s="27">
        <v>45</v>
      </c>
      <c r="G192" t="s" s="28">
        <v>46</v>
      </c>
      <c r="H192" s="34"/>
      <c r="I192" s="31"/>
      <c r="J192" s="32"/>
    </row>
    <row r="193" ht="16" customHeight="1">
      <c r="A193" t="s" s="26">
        <v>640</v>
      </c>
      <c r="B193" t="s" s="27">
        <v>41</v>
      </c>
      <c r="C193" t="s" s="27">
        <v>42</v>
      </c>
      <c r="D193" t="s" s="27">
        <v>641</v>
      </c>
      <c r="E193" t="s" s="27">
        <v>642</v>
      </c>
      <c r="F193" t="s" s="27">
        <v>45</v>
      </c>
      <c r="G193" t="s" s="28">
        <v>46</v>
      </c>
      <c r="H193" s="34"/>
      <c r="I193" s="31"/>
      <c r="J193" s="32"/>
    </row>
    <row r="194" ht="16" customHeight="1">
      <c r="A194" t="s" s="26">
        <v>643</v>
      </c>
      <c r="B194" t="s" s="27">
        <v>41</v>
      </c>
      <c r="C194" s="35"/>
      <c r="D194" t="s" s="27">
        <v>644</v>
      </c>
      <c r="E194" t="s" s="27">
        <v>645</v>
      </c>
      <c r="F194" t="s" s="27">
        <v>45</v>
      </c>
      <c r="G194" t="s" s="28">
        <v>46</v>
      </c>
      <c r="H194" s="34"/>
      <c r="I194" s="31"/>
      <c r="J194" s="32"/>
    </row>
    <row r="195" ht="16" customHeight="1">
      <c r="A195" t="s" s="26">
        <v>646</v>
      </c>
      <c r="B195" t="s" s="27">
        <v>41</v>
      </c>
      <c r="C195" t="s" s="27">
        <v>42</v>
      </c>
      <c r="D195" t="s" s="27">
        <v>647</v>
      </c>
      <c r="E195" t="s" s="27">
        <v>648</v>
      </c>
      <c r="F195" t="s" s="27">
        <v>45</v>
      </c>
      <c r="G195" s="33">
        <v>4</v>
      </c>
      <c r="H195" s="34"/>
      <c r="I195" s="31"/>
      <c r="J195" s="32"/>
    </row>
    <row r="196" ht="16" customHeight="1">
      <c r="A196" t="s" s="26">
        <v>649</v>
      </c>
      <c r="B196" t="s" s="27">
        <v>41</v>
      </c>
      <c r="C196" t="s" s="27">
        <v>42</v>
      </c>
      <c r="D196" t="s" s="27">
        <v>650</v>
      </c>
      <c r="E196" t="s" s="27">
        <v>651</v>
      </c>
      <c r="F196" t="s" s="27">
        <v>45</v>
      </c>
      <c r="G196" s="33">
        <v>4</v>
      </c>
      <c r="H196" s="34"/>
      <c r="I196" s="31"/>
      <c r="J196" s="32"/>
    </row>
    <row r="197" ht="16" customHeight="1">
      <c r="A197" t="s" s="26">
        <v>652</v>
      </c>
      <c r="B197" t="s" s="27">
        <v>41</v>
      </c>
      <c r="C197" t="s" s="27">
        <v>42</v>
      </c>
      <c r="D197" t="s" s="27">
        <v>653</v>
      </c>
      <c r="E197" t="s" s="27">
        <v>654</v>
      </c>
      <c r="F197" t="s" s="27">
        <v>45</v>
      </c>
      <c r="G197" s="33">
        <v>3</v>
      </c>
      <c r="H197" s="34"/>
      <c r="I197" s="31"/>
      <c r="J197" s="32"/>
    </row>
    <row r="198" ht="16" customHeight="1">
      <c r="A198" t="s" s="26">
        <v>655</v>
      </c>
      <c r="B198" t="s" s="27">
        <v>41</v>
      </c>
      <c r="C198" t="s" s="27">
        <v>42</v>
      </c>
      <c r="D198" t="s" s="27">
        <v>656</v>
      </c>
      <c r="E198" t="s" s="27">
        <v>657</v>
      </c>
      <c r="F198" t="s" s="27">
        <v>45</v>
      </c>
      <c r="G198" s="33">
        <v>3</v>
      </c>
      <c r="H198" s="34"/>
      <c r="I198" s="31"/>
      <c r="J198" s="32"/>
    </row>
    <row r="199" ht="16" customHeight="1">
      <c r="A199" t="s" s="26">
        <v>658</v>
      </c>
      <c r="B199" t="s" s="27">
        <v>41</v>
      </c>
      <c r="C199" t="s" s="27">
        <v>42</v>
      </c>
      <c r="D199" t="s" s="27">
        <v>659</v>
      </c>
      <c r="E199" t="s" s="27">
        <v>660</v>
      </c>
      <c r="F199" t="s" s="27">
        <v>45</v>
      </c>
      <c r="G199" s="33">
        <v>4</v>
      </c>
      <c r="H199" s="34"/>
      <c r="I199" s="31"/>
      <c r="J199" s="32"/>
    </row>
    <row r="200" ht="16" customHeight="1">
      <c r="A200" t="s" s="26">
        <v>661</v>
      </c>
      <c r="B200" t="s" s="27">
        <v>41</v>
      </c>
      <c r="C200" s="35"/>
      <c r="D200" t="s" s="27">
        <v>662</v>
      </c>
      <c r="E200" t="s" s="27">
        <v>663</v>
      </c>
      <c r="F200" t="s" s="27">
        <v>45</v>
      </c>
      <c r="G200" s="33"/>
      <c r="H200" s="34"/>
      <c r="I200" s="31"/>
      <c r="J200" s="32"/>
    </row>
    <row r="201" ht="16" customHeight="1">
      <c r="A201" t="s" s="26">
        <v>664</v>
      </c>
      <c r="B201" t="s" s="27">
        <v>41</v>
      </c>
      <c r="C201" t="s" s="27">
        <v>42</v>
      </c>
      <c r="D201" t="s" s="27">
        <v>665</v>
      </c>
      <c r="E201" t="s" s="27">
        <v>666</v>
      </c>
      <c r="F201" t="s" s="27">
        <v>45</v>
      </c>
      <c r="G201" s="33"/>
      <c r="H201" s="34"/>
      <c r="I201" s="31"/>
      <c r="J201" s="32"/>
    </row>
    <row r="202" ht="16" customHeight="1">
      <c r="A202" t="s" s="26">
        <v>667</v>
      </c>
      <c r="B202" t="s" s="27">
        <v>41</v>
      </c>
      <c r="C202" t="s" s="27">
        <v>42</v>
      </c>
      <c r="D202" t="s" s="27">
        <v>668</v>
      </c>
      <c r="E202" t="s" s="27">
        <v>669</v>
      </c>
      <c r="F202" t="s" s="27">
        <v>45</v>
      </c>
      <c r="G202" s="33">
        <v>4</v>
      </c>
      <c r="H202" s="34"/>
      <c r="I202" s="31"/>
      <c r="J202" s="32"/>
    </row>
    <row r="203" ht="24" customHeight="1">
      <c r="A203" t="s" s="26">
        <v>670</v>
      </c>
      <c r="B203" t="s" s="27">
        <v>41</v>
      </c>
      <c r="C203" t="s" s="27">
        <v>73</v>
      </c>
      <c r="D203" t="s" s="27">
        <v>671</v>
      </c>
      <c r="E203" t="s" s="27">
        <v>672</v>
      </c>
      <c r="F203" t="s" s="27">
        <v>45</v>
      </c>
      <c r="G203" s="33">
        <v>3</v>
      </c>
      <c r="H203" s="34"/>
      <c r="I203" s="31"/>
      <c r="J203" s="32"/>
    </row>
    <row r="204" ht="16" customHeight="1">
      <c r="A204" t="s" s="26">
        <v>673</v>
      </c>
      <c r="B204" t="s" s="27">
        <v>41</v>
      </c>
      <c r="C204" t="s" s="27">
        <v>42</v>
      </c>
      <c r="D204" t="s" s="27">
        <v>674</v>
      </c>
      <c r="E204" t="s" s="27">
        <v>675</v>
      </c>
      <c r="F204" t="s" s="27">
        <v>45</v>
      </c>
      <c r="G204" s="33">
        <v>2</v>
      </c>
      <c r="H204" s="34"/>
      <c r="I204" s="31"/>
      <c r="J204" s="32"/>
    </row>
    <row r="205" ht="16" customHeight="1">
      <c r="A205" t="s" s="26">
        <v>676</v>
      </c>
      <c r="B205" t="s" s="27">
        <v>41</v>
      </c>
      <c r="C205" t="s" s="27">
        <v>42</v>
      </c>
      <c r="D205" t="s" s="27">
        <v>677</v>
      </c>
      <c r="E205" t="s" s="27">
        <v>678</v>
      </c>
      <c r="F205" t="s" s="27">
        <v>45</v>
      </c>
      <c r="G205" s="33">
        <v>2</v>
      </c>
      <c r="H205" s="34"/>
      <c r="I205" s="31"/>
      <c r="J205" s="32"/>
    </row>
    <row r="206" ht="16" customHeight="1">
      <c r="A206" t="s" s="26">
        <v>679</v>
      </c>
      <c r="B206" t="s" s="27">
        <v>41</v>
      </c>
      <c r="C206" t="s" s="27">
        <v>42</v>
      </c>
      <c r="D206" t="s" s="27">
        <v>680</v>
      </c>
      <c r="E206" t="s" s="27">
        <v>681</v>
      </c>
      <c r="F206" t="s" s="27">
        <v>45</v>
      </c>
      <c r="G206" s="33">
        <v>2</v>
      </c>
      <c r="H206" s="34"/>
      <c r="I206" s="31"/>
      <c r="J206" s="32"/>
    </row>
    <row r="207" ht="16" customHeight="1">
      <c r="A207" t="s" s="26">
        <v>682</v>
      </c>
      <c r="B207" t="s" s="27">
        <v>41</v>
      </c>
      <c r="C207" t="s" s="27">
        <v>42</v>
      </c>
      <c r="D207" t="s" s="27">
        <v>683</v>
      </c>
      <c r="E207" t="s" s="27">
        <v>684</v>
      </c>
      <c r="F207" t="s" s="27">
        <v>45</v>
      </c>
      <c r="G207" s="33">
        <v>2</v>
      </c>
      <c r="H207" s="34"/>
      <c r="I207" s="31"/>
      <c r="J207" s="32"/>
    </row>
    <row r="208" ht="16" customHeight="1">
      <c r="A208" t="s" s="26">
        <v>685</v>
      </c>
      <c r="B208" t="s" s="27">
        <v>41</v>
      </c>
      <c r="C208" t="s" s="27">
        <v>42</v>
      </c>
      <c r="D208" t="s" s="27">
        <v>686</v>
      </c>
      <c r="E208" t="s" s="27">
        <v>687</v>
      </c>
      <c r="F208" t="s" s="27">
        <v>45</v>
      </c>
      <c r="G208" s="33">
        <v>2</v>
      </c>
      <c r="H208" s="34"/>
      <c r="I208" s="31"/>
      <c r="J208" s="32"/>
    </row>
    <row r="209" ht="16" customHeight="1">
      <c r="A209" t="s" s="26">
        <v>688</v>
      </c>
      <c r="B209" t="s" s="27">
        <v>41</v>
      </c>
      <c r="C209" t="s" s="27">
        <v>42</v>
      </c>
      <c r="D209" t="s" s="27">
        <v>689</v>
      </c>
      <c r="E209" t="s" s="27">
        <v>690</v>
      </c>
      <c r="F209" t="s" s="27">
        <v>45</v>
      </c>
      <c r="G209" s="33">
        <v>2</v>
      </c>
      <c r="H209" s="34"/>
      <c r="I209" s="31"/>
      <c r="J209" s="32"/>
    </row>
    <row r="210" ht="16" customHeight="1">
      <c r="A210" t="s" s="26">
        <v>691</v>
      </c>
      <c r="B210" t="s" s="27">
        <v>41</v>
      </c>
      <c r="C210" t="s" s="27">
        <v>42</v>
      </c>
      <c r="D210" t="s" s="27">
        <v>692</v>
      </c>
      <c r="E210" t="s" s="27">
        <v>693</v>
      </c>
      <c r="F210" t="s" s="27">
        <v>45</v>
      </c>
      <c r="G210" s="33">
        <v>2</v>
      </c>
      <c r="H210" s="34"/>
      <c r="I210" s="31"/>
      <c r="J210" s="32"/>
    </row>
    <row r="211" ht="16" customHeight="1">
      <c r="A211" t="s" s="26">
        <v>694</v>
      </c>
      <c r="B211" t="s" s="27">
        <v>41</v>
      </c>
      <c r="C211" t="s" s="27">
        <v>42</v>
      </c>
      <c r="D211" t="s" s="27">
        <v>695</v>
      </c>
      <c r="E211" t="s" s="27">
        <v>696</v>
      </c>
      <c r="F211" t="s" s="27">
        <v>45</v>
      </c>
      <c r="G211" s="33">
        <v>2</v>
      </c>
      <c r="H211" s="34"/>
      <c r="I211" s="31"/>
      <c r="J211" s="32"/>
    </row>
    <row r="212" ht="16" customHeight="1">
      <c r="A212" t="s" s="26">
        <v>697</v>
      </c>
      <c r="B212" t="s" s="27">
        <v>41</v>
      </c>
      <c r="C212" t="s" s="27">
        <v>42</v>
      </c>
      <c r="D212" t="s" s="27">
        <v>698</v>
      </c>
      <c r="E212" t="s" s="27">
        <v>699</v>
      </c>
      <c r="F212" t="s" s="27">
        <v>45</v>
      </c>
      <c r="G212" s="33">
        <v>2</v>
      </c>
      <c r="H212" s="34"/>
      <c r="I212" s="31"/>
      <c r="J212" s="32"/>
    </row>
    <row r="213" ht="16" customHeight="1">
      <c r="A213" t="s" s="26">
        <v>700</v>
      </c>
      <c r="B213" t="s" s="27">
        <v>41</v>
      </c>
      <c r="C213" t="s" s="27">
        <v>42</v>
      </c>
      <c r="D213" t="s" s="27">
        <v>701</v>
      </c>
      <c r="E213" t="s" s="27">
        <v>702</v>
      </c>
      <c r="F213" t="s" s="27">
        <v>45</v>
      </c>
      <c r="G213" s="33">
        <v>2</v>
      </c>
      <c r="H213" s="34"/>
      <c r="I213" s="31"/>
      <c r="J213" s="32"/>
    </row>
    <row r="214" ht="24" customHeight="1">
      <c r="A214" t="s" s="26">
        <v>703</v>
      </c>
      <c r="B214" t="s" s="27">
        <v>41</v>
      </c>
      <c r="C214" t="s" s="27">
        <v>42</v>
      </c>
      <c r="D214" t="s" s="27">
        <v>704</v>
      </c>
      <c r="E214" t="s" s="27">
        <v>705</v>
      </c>
      <c r="F214" t="s" s="27">
        <v>45</v>
      </c>
      <c r="G214" s="33">
        <v>2</v>
      </c>
      <c r="H214" s="34"/>
      <c r="I214" s="31"/>
      <c r="J214" s="32"/>
    </row>
    <row r="215" ht="16" customHeight="1">
      <c r="A215" t="s" s="26">
        <v>706</v>
      </c>
      <c r="B215" t="s" s="27">
        <v>41</v>
      </c>
      <c r="C215" t="s" s="27">
        <v>42</v>
      </c>
      <c r="D215" t="s" s="27">
        <v>707</v>
      </c>
      <c r="E215" t="s" s="27">
        <v>708</v>
      </c>
      <c r="F215" t="s" s="27">
        <v>45</v>
      </c>
      <c r="G215" s="33">
        <v>5</v>
      </c>
      <c r="H215" s="34"/>
      <c r="I215" s="31"/>
      <c r="J215" s="32"/>
    </row>
    <row r="216" ht="16" customHeight="1">
      <c r="A216" t="s" s="26">
        <v>709</v>
      </c>
      <c r="B216" t="s" s="27">
        <v>41</v>
      </c>
      <c r="C216" s="35"/>
      <c r="D216" t="s" s="27">
        <v>710</v>
      </c>
      <c r="E216" t="s" s="27">
        <v>711</v>
      </c>
      <c r="F216" t="s" s="27">
        <v>45</v>
      </c>
      <c r="G216" s="33">
        <v>5</v>
      </c>
      <c r="H216" s="34"/>
      <c r="I216" s="31"/>
      <c r="J216" s="32"/>
    </row>
    <row r="217" ht="16" customHeight="1">
      <c r="A217" t="s" s="26">
        <v>712</v>
      </c>
      <c r="B217" t="s" s="27">
        <v>41</v>
      </c>
      <c r="C217" t="s" s="27">
        <v>42</v>
      </c>
      <c r="D217" t="s" s="27">
        <v>713</v>
      </c>
      <c r="E217" t="s" s="27">
        <v>714</v>
      </c>
      <c r="F217" t="s" s="27">
        <v>45</v>
      </c>
      <c r="G217" s="33">
        <v>4</v>
      </c>
      <c r="H217" s="34"/>
      <c r="I217" s="31"/>
      <c r="J217" s="32"/>
    </row>
    <row r="218" ht="16" customHeight="1">
      <c r="A218" t="s" s="26">
        <v>715</v>
      </c>
      <c r="B218" t="s" s="27">
        <v>41</v>
      </c>
      <c r="C218" t="s" s="27">
        <v>42</v>
      </c>
      <c r="D218" t="s" s="27">
        <v>716</v>
      </c>
      <c r="E218" t="s" s="27">
        <v>717</v>
      </c>
      <c r="F218" t="s" s="27">
        <v>45</v>
      </c>
      <c r="G218" s="33">
        <v>4</v>
      </c>
      <c r="H218" s="34"/>
      <c r="I218" s="31"/>
      <c r="J218" s="32"/>
    </row>
    <row r="219" ht="16" customHeight="1">
      <c r="A219" t="s" s="26">
        <v>718</v>
      </c>
      <c r="B219" t="s" s="27">
        <v>41</v>
      </c>
      <c r="C219" s="35"/>
      <c r="D219" t="s" s="27">
        <v>719</v>
      </c>
      <c r="E219" t="s" s="27">
        <v>720</v>
      </c>
      <c r="F219" t="s" s="27">
        <v>45</v>
      </c>
      <c r="G219" s="33">
        <v>3</v>
      </c>
      <c r="H219" s="34"/>
      <c r="I219" s="31"/>
      <c r="J219" s="32"/>
    </row>
    <row r="220" ht="16" customHeight="1">
      <c r="A220" t="s" s="26">
        <v>721</v>
      </c>
      <c r="B220" t="s" s="27">
        <v>41</v>
      </c>
      <c r="C220" t="s" s="27">
        <v>42</v>
      </c>
      <c r="D220" t="s" s="27">
        <v>722</v>
      </c>
      <c r="E220" t="s" s="27">
        <v>723</v>
      </c>
      <c r="F220" t="s" s="27">
        <v>45</v>
      </c>
      <c r="G220" s="33">
        <v>4</v>
      </c>
      <c r="H220" s="34"/>
      <c r="I220" s="31"/>
      <c r="J220" s="32"/>
    </row>
    <row r="221" ht="16" customHeight="1">
      <c r="A221" t="s" s="26">
        <v>724</v>
      </c>
      <c r="B221" t="s" s="27">
        <v>41</v>
      </c>
      <c r="C221" t="s" s="27">
        <v>42</v>
      </c>
      <c r="D221" t="s" s="27">
        <v>722</v>
      </c>
      <c r="E221" t="s" s="27">
        <v>725</v>
      </c>
      <c r="F221" t="s" s="27">
        <v>45</v>
      </c>
      <c r="G221" s="33">
        <v>4</v>
      </c>
      <c r="H221" s="34"/>
      <c r="I221" s="31"/>
      <c r="J221" s="32"/>
    </row>
    <row r="222" ht="16" customHeight="1">
      <c r="A222" t="s" s="26">
        <v>726</v>
      </c>
      <c r="B222" t="s" s="27">
        <v>41</v>
      </c>
      <c r="C222" t="s" s="27">
        <v>42</v>
      </c>
      <c r="D222" t="s" s="27">
        <v>722</v>
      </c>
      <c r="E222" t="s" s="27">
        <v>727</v>
      </c>
      <c r="F222" t="s" s="27">
        <v>45</v>
      </c>
      <c r="G222" s="33">
        <v>4</v>
      </c>
      <c r="H222" s="34"/>
      <c r="I222" s="31"/>
      <c r="J222" s="32"/>
    </row>
    <row r="223" ht="16" customHeight="1">
      <c r="A223" t="s" s="26">
        <v>728</v>
      </c>
      <c r="B223" t="s" s="27">
        <v>41</v>
      </c>
      <c r="C223" t="s" s="27">
        <v>42</v>
      </c>
      <c r="D223" t="s" s="27">
        <v>729</v>
      </c>
      <c r="E223" t="s" s="27">
        <v>730</v>
      </c>
      <c r="F223" t="s" s="27">
        <v>45</v>
      </c>
      <c r="G223" s="33">
        <v>4</v>
      </c>
      <c r="H223" s="34"/>
      <c r="I223" s="31"/>
      <c r="J223" s="32"/>
    </row>
    <row r="224" ht="16" customHeight="1">
      <c r="A224" t="s" s="26">
        <v>731</v>
      </c>
      <c r="B224" t="s" s="27">
        <v>41</v>
      </c>
      <c r="C224" s="35"/>
      <c r="D224" t="s" s="27">
        <v>732</v>
      </c>
      <c r="E224" t="s" s="27">
        <v>733</v>
      </c>
      <c r="F224" t="s" s="27">
        <v>45</v>
      </c>
      <c r="G224" s="33">
        <v>3</v>
      </c>
      <c r="H224" s="34"/>
      <c r="I224" s="31"/>
      <c r="J224" s="32"/>
    </row>
    <row r="225" ht="16" customHeight="1">
      <c r="A225" t="s" s="26">
        <v>734</v>
      </c>
      <c r="B225" t="s" s="27">
        <v>41</v>
      </c>
      <c r="C225" t="s" s="27">
        <v>42</v>
      </c>
      <c r="D225" t="s" s="27">
        <v>735</v>
      </c>
      <c r="E225" t="s" s="27">
        <v>736</v>
      </c>
      <c r="F225" t="s" s="27">
        <v>45</v>
      </c>
      <c r="G225" s="33">
        <v>3</v>
      </c>
      <c r="H225" s="34"/>
      <c r="I225" s="31"/>
      <c r="J225" s="32"/>
    </row>
    <row r="226" ht="16" customHeight="1">
      <c r="A226" t="s" s="26">
        <v>737</v>
      </c>
      <c r="B226" t="s" s="27">
        <v>41</v>
      </c>
      <c r="C226" t="s" s="27">
        <v>42</v>
      </c>
      <c r="D226" t="s" s="27">
        <v>738</v>
      </c>
      <c r="E226" t="s" s="27">
        <v>739</v>
      </c>
      <c r="F226" t="s" s="27">
        <v>45</v>
      </c>
      <c r="G226" s="33">
        <v>3</v>
      </c>
      <c r="H226" s="34"/>
      <c r="I226" s="31"/>
      <c r="J226" s="32"/>
    </row>
    <row r="227" ht="16" customHeight="1">
      <c r="A227" t="s" s="26">
        <v>740</v>
      </c>
      <c r="B227" t="s" s="27">
        <v>41</v>
      </c>
      <c r="C227" s="35"/>
      <c r="D227" t="s" s="27">
        <v>741</v>
      </c>
      <c r="E227" t="s" s="27">
        <v>742</v>
      </c>
      <c r="F227" t="s" s="27">
        <v>45</v>
      </c>
      <c r="G227" s="33">
        <v>3</v>
      </c>
      <c r="H227" s="34"/>
      <c r="I227" s="31"/>
      <c r="J227" s="32"/>
    </row>
    <row r="228" ht="16" customHeight="1">
      <c r="A228" t="s" s="26">
        <v>743</v>
      </c>
      <c r="B228" t="s" s="27">
        <v>41</v>
      </c>
      <c r="C228" t="s" s="27">
        <v>42</v>
      </c>
      <c r="D228" t="s" s="27">
        <v>744</v>
      </c>
      <c r="E228" t="s" s="27">
        <v>745</v>
      </c>
      <c r="F228" t="s" s="27">
        <v>45</v>
      </c>
      <c r="G228" s="33">
        <v>3</v>
      </c>
      <c r="H228" s="34"/>
      <c r="I228" s="31"/>
      <c r="J228" s="32"/>
    </row>
    <row r="229" ht="16" customHeight="1">
      <c r="A229" t="s" s="26">
        <v>746</v>
      </c>
      <c r="B229" t="s" s="27">
        <v>41</v>
      </c>
      <c r="C229" t="s" s="27">
        <v>42</v>
      </c>
      <c r="D229" t="s" s="27">
        <v>747</v>
      </c>
      <c r="E229" t="s" s="27">
        <v>748</v>
      </c>
      <c r="F229" t="s" s="27">
        <v>45</v>
      </c>
      <c r="G229" s="33">
        <v>3</v>
      </c>
      <c r="H229" s="34"/>
      <c r="I229" s="31"/>
      <c r="J229" s="32"/>
    </row>
    <row r="230" ht="16" customHeight="1">
      <c r="A230" t="s" s="26">
        <v>749</v>
      </c>
      <c r="B230" t="s" s="27">
        <v>41</v>
      </c>
      <c r="C230" t="s" s="27">
        <v>42</v>
      </c>
      <c r="D230" t="s" s="27">
        <v>750</v>
      </c>
      <c r="E230" t="s" s="27">
        <v>751</v>
      </c>
      <c r="F230" t="s" s="27">
        <v>45</v>
      </c>
      <c r="G230" s="33">
        <v>4</v>
      </c>
      <c r="H230" s="34"/>
      <c r="I230" s="31"/>
      <c r="J230" s="32"/>
    </row>
    <row r="231" ht="16" customHeight="1">
      <c r="A231" t="s" s="26">
        <v>752</v>
      </c>
      <c r="B231" t="s" s="27">
        <v>41</v>
      </c>
      <c r="C231" t="s" s="27">
        <v>42</v>
      </c>
      <c r="D231" t="s" s="27">
        <v>753</v>
      </c>
      <c r="E231" t="s" s="27">
        <v>754</v>
      </c>
      <c r="F231" t="s" s="27">
        <v>45</v>
      </c>
      <c r="G231" s="33"/>
      <c r="H231" s="34"/>
      <c r="I231" s="31"/>
      <c r="J231" s="32"/>
    </row>
    <row r="232" ht="16" customHeight="1">
      <c r="A232" t="s" s="26">
        <v>755</v>
      </c>
      <c r="B232" t="s" s="27">
        <v>41</v>
      </c>
      <c r="C232" t="s" s="27">
        <v>42</v>
      </c>
      <c r="D232" t="s" s="27">
        <v>756</v>
      </c>
      <c r="E232" t="s" s="27">
        <v>757</v>
      </c>
      <c r="F232" t="s" s="27">
        <v>45</v>
      </c>
      <c r="G232" s="33"/>
      <c r="H232" s="34"/>
      <c r="I232" s="31"/>
      <c r="J232" s="32"/>
    </row>
    <row r="233" ht="16" customHeight="1">
      <c r="A233" t="s" s="26">
        <v>758</v>
      </c>
      <c r="B233" t="s" s="27">
        <v>41</v>
      </c>
      <c r="C233" t="s" s="27">
        <v>49</v>
      </c>
      <c r="D233" t="s" s="27">
        <v>759</v>
      </c>
      <c r="E233" t="s" s="27">
        <v>760</v>
      </c>
      <c r="F233" t="s" s="27">
        <v>45</v>
      </c>
      <c r="G233" s="33"/>
      <c r="H233" s="34"/>
      <c r="I233" s="31"/>
      <c r="J233" s="32"/>
    </row>
    <row r="234" ht="16" customHeight="1">
      <c r="A234" t="s" s="26">
        <v>761</v>
      </c>
      <c r="B234" t="s" s="27">
        <v>41</v>
      </c>
      <c r="C234" t="s" s="27">
        <v>49</v>
      </c>
      <c r="D234" t="s" s="27">
        <v>762</v>
      </c>
      <c r="E234" t="s" s="27">
        <v>763</v>
      </c>
      <c r="F234" t="s" s="27">
        <v>45</v>
      </c>
      <c r="G234" s="33"/>
      <c r="H234" s="34"/>
      <c r="I234" s="31"/>
      <c r="J234" s="32"/>
    </row>
    <row r="235" ht="16" customHeight="1">
      <c r="A235" t="s" s="26">
        <v>764</v>
      </c>
      <c r="B235" t="s" s="27">
        <v>41</v>
      </c>
      <c r="C235" t="s" s="27">
        <v>42</v>
      </c>
      <c r="D235" t="s" s="27">
        <v>765</v>
      </c>
      <c r="E235" t="s" s="27">
        <v>766</v>
      </c>
      <c r="F235" t="s" s="27">
        <v>45</v>
      </c>
      <c r="G235" s="33"/>
      <c r="H235" s="34"/>
      <c r="I235" s="31"/>
      <c r="J235" s="32"/>
    </row>
    <row r="236" ht="24" customHeight="1">
      <c r="A236" t="s" s="26">
        <v>767</v>
      </c>
      <c r="B236" t="s" s="27">
        <v>41</v>
      </c>
      <c r="C236" t="s" s="27">
        <v>57</v>
      </c>
      <c r="D236" t="s" s="27">
        <v>768</v>
      </c>
      <c r="E236" t="s" s="27">
        <v>769</v>
      </c>
      <c r="F236" t="s" s="27">
        <v>45</v>
      </c>
      <c r="G236" s="33"/>
      <c r="H236" s="34"/>
      <c r="I236" s="31"/>
      <c r="J236" s="32"/>
    </row>
    <row r="237" ht="16" customHeight="1">
      <c r="A237" t="s" s="26">
        <v>770</v>
      </c>
      <c r="B237" t="s" s="27">
        <v>41</v>
      </c>
      <c r="C237" t="s" s="27">
        <v>42</v>
      </c>
      <c r="D237" t="s" s="27">
        <v>771</v>
      </c>
      <c r="E237" t="s" s="27">
        <v>772</v>
      </c>
      <c r="F237" t="s" s="27">
        <v>45</v>
      </c>
      <c r="G237" s="33"/>
      <c r="H237" s="34"/>
      <c r="I237" s="31"/>
      <c r="J237" s="32"/>
    </row>
    <row r="238" ht="16" customHeight="1">
      <c r="A238" t="s" s="26">
        <v>773</v>
      </c>
      <c r="B238" t="s" s="27">
        <v>41</v>
      </c>
      <c r="C238" t="s" s="27">
        <v>73</v>
      </c>
      <c r="D238" t="s" s="27">
        <v>774</v>
      </c>
      <c r="E238" t="s" s="27">
        <v>775</v>
      </c>
      <c r="F238" t="s" s="27">
        <v>45</v>
      </c>
      <c r="G238" s="33"/>
      <c r="H238" s="34"/>
      <c r="I238" s="31"/>
      <c r="J238" s="32"/>
    </row>
    <row r="239" ht="24" customHeight="1">
      <c r="A239" t="s" s="26">
        <v>776</v>
      </c>
      <c r="B239" t="s" s="27">
        <v>41</v>
      </c>
      <c r="C239" t="s" s="27">
        <v>42</v>
      </c>
      <c r="D239" t="s" s="27">
        <v>777</v>
      </c>
      <c r="E239" t="s" s="27">
        <v>778</v>
      </c>
      <c r="F239" t="s" s="27">
        <v>45</v>
      </c>
      <c r="G239" s="33"/>
      <c r="H239" s="34"/>
      <c r="I239" s="31"/>
      <c r="J239" s="32"/>
    </row>
    <row r="240" ht="16" customHeight="1">
      <c r="A240" t="s" s="26">
        <v>779</v>
      </c>
      <c r="B240" t="s" s="27">
        <v>41</v>
      </c>
      <c r="C240" s="35"/>
      <c r="D240" t="s" s="27">
        <v>780</v>
      </c>
      <c r="E240" t="s" s="27">
        <v>781</v>
      </c>
      <c r="F240" t="s" s="27">
        <v>45</v>
      </c>
      <c r="G240" s="33"/>
      <c r="H240" s="34"/>
      <c r="I240" s="31"/>
      <c r="J240" s="32"/>
    </row>
    <row r="241" ht="16" customHeight="1">
      <c r="A241" t="s" s="26">
        <v>782</v>
      </c>
      <c r="B241" t="s" s="27">
        <v>41</v>
      </c>
      <c r="C241" t="s" s="27">
        <v>42</v>
      </c>
      <c r="D241" t="s" s="27">
        <v>783</v>
      </c>
      <c r="E241" t="s" s="27">
        <v>784</v>
      </c>
      <c r="F241" t="s" s="27">
        <v>45</v>
      </c>
      <c r="G241" s="33"/>
      <c r="H241" s="34"/>
      <c r="I241" s="31"/>
      <c r="J241" s="32"/>
    </row>
    <row r="242" ht="16" customHeight="1">
      <c r="A242" t="s" s="26">
        <v>785</v>
      </c>
      <c r="B242" t="s" s="27">
        <v>41</v>
      </c>
      <c r="C242" t="s" s="27">
        <v>57</v>
      </c>
      <c r="D242" t="s" s="27">
        <v>786</v>
      </c>
      <c r="E242" t="s" s="27">
        <v>787</v>
      </c>
      <c r="F242" t="s" s="27">
        <v>45</v>
      </c>
      <c r="G242" s="33"/>
      <c r="H242" s="34"/>
      <c r="I242" s="31"/>
      <c r="J242" s="32"/>
    </row>
    <row r="243" ht="16" customHeight="1">
      <c r="A243" t="s" s="26">
        <v>788</v>
      </c>
      <c r="B243" t="s" s="27">
        <v>41</v>
      </c>
      <c r="C243" t="s" s="27">
        <v>42</v>
      </c>
      <c r="D243" t="s" s="27">
        <v>789</v>
      </c>
      <c r="E243" t="s" s="27">
        <v>790</v>
      </c>
      <c r="F243" t="s" s="27">
        <v>45</v>
      </c>
      <c r="G243" s="33"/>
      <c r="H243" s="34"/>
      <c r="I243" s="31"/>
      <c r="J243" s="32"/>
    </row>
    <row r="244" ht="16" customHeight="1">
      <c r="A244" t="s" s="26">
        <v>791</v>
      </c>
      <c r="B244" t="s" s="27">
        <v>41</v>
      </c>
      <c r="C244" t="s" s="27">
        <v>73</v>
      </c>
      <c r="D244" t="s" s="27">
        <v>792</v>
      </c>
      <c r="E244" t="s" s="27">
        <v>793</v>
      </c>
      <c r="F244" t="s" s="27">
        <v>45</v>
      </c>
      <c r="G244" s="33"/>
      <c r="H244" s="34"/>
      <c r="I244" s="31"/>
      <c r="J244" s="32"/>
    </row>
    <row r="245" ht="16" customHeight="1">
      <c r="A245" t="s" s="26">
        <v>794</v>
      </c>
      <c r="B245" t="s" s="27">
        <v>41</v>
      </c>
      <c r="C245" t="s" s="27">
        <v>42</v>
      </c>
      <c r="D245" t="s" s="27">
        <v>795</v>
      </c>
      <c r="E245" t="s" s="27">
        <v>796</v>
      </c>
      <c r="F245" t="s" s="27">
        <v>45</v>
      </c>
      <c r="G245" s="33"/>
      <c r="H245" s="34"/>
      <c r="I245" s="31"/>
      <c r="J245" s="32"/>
    </row>
    <row r="246" ht="16" customHeight="1">
      <c r="A246" t="s" s="26">
        <v>797</v>
      </c>
      <c r="B246" t="s" s="27">
        <v>41</v>
      </c>
      <c r="C246" t="s" s="27">
        <v>42</v>
      </c>
      <c r="D246" t="s" s="27">
        <v>798</v>
      </c>
      <c r="E246" t="s" s="27">
        <v>799</v>
      </c>
      <c r="F246" t="s" s="27">
        <v>45</v>
      </c>
      <c r="G246" s="33"/>
      <c r="H246" s="34"/>
      <c r="I246" s="31"/>
      <c r="J246" s="32"/>
    </row>
    <row r="247" ht="16" customHeight="1">
      <c r="A247" t="s" s="26">
        <v>800</v>
      </c>
      <c r="B247" t="s" s="27">
        <v>41</v>
      </c>
      <c r="C247" t="s" s="27">
        <v>57</v>
      </c>
      <c r="D247" t="s" s="27">
        <v>801</v>
      </c>
      <c r="E247" t="s" s="27">
        <v>802</v>
      </c>
      <c r="F247" t="s" s="27">
        <v>45</v>
      </c>
      <c r="G247" s="33"/>
      <c r="H247" s="34"/>
      <c r="I247" s="31"/>
      <c r="J247" s="32"/>
    </row>
    <row r="248" ht="16" customHeight="1">
      <c r="A248" t="s" s="26">
        <v>803</v>
      </c>
      <c r="B248" t="s" s="27">
        <v>41</v>
      </c>
      <c r="C248" s="35"/>
      <c r="D248" t="s" s="27">
        <v>804</v>
      </c>
      <c r="E248" t="s" s="27">
        <v>805</v>
      </c>
      <c r="F248" t="s" s="27">
        <v>45</v>
      </c>
      <c r="G248" s="33"/>
      <c r="H248" s="34"/>
      <c r="I248" s="31"/>
      <c r="J248" s="32"/>
    </row>
    <row r="249" ht="16" customHeight="1">
      <c r="A249" t="s" s="26">
        <v>806</v>
      </c>
      <c r="B249" t="s" s="27">
        <v>41</v>
      </c>
      <c r="C249" t="s" s="27">
        <v>42</v>
      </c>
      <c r="D249" t="s" s="27">
        <v>807</v>
      </c>
      <c r="E249" t="s" s="27">
        <v>808</v>
      </c>
      <c r="F249" t="s" s="27">
        <v>45</v>
      </c>
      <c r="G249" s="33"/>
      <c r="H249" s="34"/>
      <c r="I249" s="31"/>
      <c r="J249" s="32"/>
    </row>
    <row r="250" ht="16" customHeight="1">
      <c r="A250" t="s" s="26">
        <v>809</v>
      </c>
      <c r="B250" t="s" s="27">
        <v>41</v>
      </c>
      <c r="C250" t="s" s="27">
        <v>42</v>
      </c>
      <c r="D250" t="s" s="27">
        <v>810</v>
      </c>
      <c r="E250" t="s" s="27">
        <v>811</v>
      </c>
      <c r="F250" t="s" s="27">
        <v>45</v>
      </c>
      <c r="G250" s="33"/>
      <c r="H250" s="34"/>
      <c r="I250" s="31"/>
      <c r="J250" s="32"/>
    </row>
    <row r="251" ht="16" customHeight="1">
      <c r="A251" t="s" s="26">
        <v>812</v>
      </c>
      <c r="B251" t="s" s="27">
        <v>41</v>
      </c>
      <c r="C251" t="s" s="27">
        <v>57</v>
      </c>
      <c r="D251" t="s" s="27">
        <v>813</v>
      </c>
      <c r="E251" t="s" s="27">
        <v>814</v>
      </c>
      <c r="F251" t="s" s="27">
        <v>45</v>
      </c>
      <c r="G251" s="33"/>
      <c r="H251" s="34"/>
      <c r="I251" s="31"/>
      <c r="J251" s="32"/>
    </row>
    <row r="252" ht="16" customHeight="1">
      <c r="A252" t="s" s="26">
        <v>815</v>
      </c>
      <c r="B252" t="s" s="27">
        <v>41</v>
      </c>
      <c r="C252" t="s" s="27">
        <v>42</v>
      </c>
      <c r="D252" t="s" s="27">
        <v>816</v>
      </c>
      <c r="E252" t="s" s="27">
        <v>817</v>
      </c>
      <c r="F252" t="s" s="27">
        <v>45</v>
      </c>
      <c r="G252" s="33"/>
      <c r="H252" s="34"/>
      <c r="I252" s="31"/>
      <c r="J252" s="32"/>
    </row>
    <row r="253" ht="16" customHeight="1">
      <c r="A253" t="s" s="26">
        <v>818</v>
      </c>
      <c r="B253" t="s" s="27">
        <v>41</v>
      </c>
      <c r="C253" t="s" s="27">
        <v>42</v>
      </c>
      <c r="D253" t="s" s="27">
        <v>819</v>
      </c>
      <c r="E253" t="s" s="27">
        <v>820</v>
      </c>
      <c r="F253" t="s" s="27">
        <v>45</v>
      </c>
      <c r="G253" s="33"/>
      <c r="H253" s="34"/>
      <c r="I253" s="31"/>
      <c r="J253" s="32"/>
    </row>
    <row r="254" ht="16" customHeight="1">
      <c r="A254" t="s" s="26">
        <v>821</v>
      </c>
      <c r="B254" t="s" s="27">
        <v>41</v>
      </c>
      <c r="C254" t="s" s="27">
        <v>42</v>
      </c>
      <c r="D254" t="s" s="27">
        <v>822</v>
      </c>
      <c r="E254" t="s" s="27">
        <v>823</v>
      </c>
      <c r="F254" t="s" s="27">
        <v>45</v>
      </c>
      <c r="G254" s="33"/>
      <c r="H254" s="34"/>
      <c r="I254" s="31"/>
      <c r="J254" s="32"/>
    </row>
    <row r="255" ht="16" customHeight="1">
      <c r="A255" t="s" s="26">
        <v>824</v>
      </c>
      <c r="B255" t="s" s="27">
        <v>41</v>
      </c>
      <c r="C255" t="s" s="27">
        <v>49</v>
      </c>
      <c r="D255" t="s" s="27">
        <v>825</v>
      </c>
      <c r="E255" t="s" s="27">
        <v>826</v>
      </c>
      <c r="F255" t="s" s="27">
        <v>45</v>
      </c>
      <c r="G255" s="33"/>
      <c r="H255" s="34"/>
      <c r="I255" s="31"/>
      <c r="J255" s="32"/>
    </row>
    <row r="256" ht="16" customHeight="1">
      <c r="A256" t="s" s="26">
        <v>827</v>
      </c>
      <c r="B256" t="s" s="27">
        <v>41</v>
      </c>
      <c r="C256" t="s" s="27">
        <v>42</v>
      </c>
      <c r="D256" t="s" s="27">
        <v>828</v>
      </c>
      <c r="E256" t="s" s="27">
        <v>829</v>
      </c>
      <c r="F256" t="s" s="27">
        <v>45</v>
      </c>
      <c r="G256" s="33"/>
      <c r="H256" s="34"/>
      <c r="I256" s="31"/>
      <c r="J256" s="32"/>
    </row>
    <row r="257" ht="16" customHeight="1">
      <c r="A257" t="s" s="26">
        <v>830</v>
      </c>
      <c r="B257" t="s" s="27">
        <v>41</v>
      </c>
      <c r="C257" s="35"/>
      <c r="D257" t="s" s="27">
        <v>831</v>
      </c>
      <c r="E257" t="s" s="27">
        <v>832</v>
      </c>
      <c r="F257" t="s" s="27">
        <v>45</v>
      </c>
      <c r="G257" s="33"/>
      <c r="H257" s="34"/>
      <c r="I257" s="31"/>
      <c r="J257" s="32"/>
    </row>
    <row r="258" ht="16" customHeight="1">
      <c r="A258" t="s" s="26">
        <v>833</v>
      </c>
      <c r="B258" t="s" s="27">
        <v>41</v>
      </c>
      <c r="C258" t="s" s="27">
        <v>42</v>
      </c>
      <c r="D258" t="s" s="27">
        <v>834</v>
      </c>
      <c r="E258" t="s" s="27">
        <v>835</v>
      </c>
      <c r="F258" t="s" s="27">
        <v>836</v>
      </c>
      <c r="G258" s="33"/>
      <c r="H258" s="34"/>
      <c r="I258" s="31"/>
      <c r="J258" s="32"/>
    </row>
    <row r="259" ht="16" customHeight="1">
      <c r="A259" t="s" s="26">
        <v>837</v>
      </c>
      <c r="B259" t="s" s="27">
        <v>41</v>
      </c>
      <c r="C259" t="s" s="27">
        <v>838</v>
      </c>
      <c r="D259" t="s" s="27">
        <v>839</v>
      </c>
      <c r="E259" t="s" s="27">
        <v>51</v>
      </c>
      <c r="F259" t="s" s="27">
        <v>836</v>
      </c>
      <c r="G259" s="33"/>
      <c r="H259" s="34"/>
      <c r="I259" s="31"/>
      <c r="J259" s="32"/>
    </row>
    <row r="260" ht="16" customHeight="1">
      <c r="A260" t="s" s="26">
        <v>840</v>
      </c>
      <c r="B260" t="s" s="27">
        <v>41</v>
      </c>
      <c r="C260" t="s" s="27">
        <v>838</v>
      </c>
      <c r="D260" t="s" s="27">
        <v>841</v>
      </c>
      <c r="E260" t="s" s="27">
        <v>51</v>
      </c>
      <c r="F260" t="s" s="27">
        <v>836</v>
      </c>
      <c r="G260" s="33"/>
      <c r="H260" s="34"/>
      <c r="I260" s="31"/>
      <c r="J260" s="32"/>
    </row>
    <row r="261" ht="16" customHeight="1">
      <c r="A261" t="s" s="26">
        <v>842</v>
      </c>
      <c r="B261" t="s" s="27">
        <v>41</v>
      </c>
      <c r="C261" t="s" s="27">
        <v>838</v>
      </c>
      <c r="D261" t="s" s="27">
        <v>843</v>
      </c>
      <c r="E261" t="s" s="27">
        <v>55</v>
      </c>
      <c r="F261" t="s" s="27">
        <v>836</v>
      </c>
      <c r="G261" s="33"/>
      <c r="H261" s="34"/>
      <c r="I261" s="31"/>
      <c r="J261" s="32"/>
    </row>
    <row r="262" ht="16" customHeight="1">
      <c r="A262" t="s" s="26">
        <v>844</v>
      </c>
      <c r="B262" t="s" s="27">
        <v>41</v>
      </c>
      <c r="C262" t="s" s="27">
        <v>42</v>
      </c>
      <c r="D262" t="s" s="27">
        <v>845</v>
      </c>
      <c r="E262" t="s" s="27">
        <v>846</v>
      </c>
      <c r="F262" t="s" s="27">
        <v>836</v>
      </c>
      <c r="G262" s="33"/>
      <c r="H262" s="34"/>
      <c r="I262" s="31"/>
      <c r="J262" s="32"/>
    </row>
    <row r="263" ht="16" customHeight="1">
      <c r="A263" t="s" s="26">
        <v>847</v>
      </c>
      <c r="B263" t="s" s="27">
        <v>41</v>
      </c>
      <c r="C263" t="s" s="27">
        <v>423</v>
      </c>
      <c r="D263" t="s" s="27">
        <v>848</v>
      </c>
      <c r="E263" t="s" s="27">
        <v>59</v>
      </c>
      <c r="F263" t="s" s="27">
        <v>836</v>
      </c>
      <c r="G263" s="33"/>
      <c r="H263" s="34"/>
      <c r="I263" s="31"/>
      <c r="J263" s="32"/>
    </row>
    <row r="264" ht="16" customHeight="1">
      <c r="A264" t="s" s="26">
        <v>849</v>
      </c>
      <c r="B264" t="s" s="27">
        <v>41</v>
      </c>
      <c r="C264" t="s" s="27">
        <v>449</v>
      </c>
      <c r="D264" t="s" s="27">
        <v>850</v>
      </c>
      <c r="E264" t="s" s="27">
        <v>59</v>
      </c>
      <c r="F264" t="s" s="27">
        <v>836</v>
      </c>
      <c r="G264" s="33"/>
      <c r="H264" s="34"/>
      <c r="I264" s="31"/>
      <c r="J264" s="32"/>
    </row>
    <row r="265" ht="16" customHeight="1">
      <c r="A265" t="s" s="26">
        <v>851</v>
      </c>
      <c r="B265" t="s" s="27">
        <v>41</v>
      </c>
      <c r="C265" t="s" s="27">
        <v>423</v>
      </c>
      <c r="D265" t="s" s="27">
        <v>852</v>
      </c>
      <c r="E265" t="s" s="27">
        <v>63</v>
      </c>
      <c r="F265" t="s" s="27">
        <v>836</v>
      </c>
      <c r="G265" s="33"/>
      <c r="H265" s="34"/>
      <c r="I265" s="31"/>
      <c r="J265" s="32"/>
    </row>
    <row r="266" ht="16" customHeight="1">
      <c r="A266" t="s" s="26">
        <v>853</v>
      </c>
      <c r="B266" t="s" s="27">
        <v>41</v>
      </c>
      <c r="C266" t="s" s="27">
        <v>838</v>
      </c>
      <c r="D266" t="s" s="27">
        <v>854</v>
      </c>
      <c r="E266" t="s" s="27">
        <v>66</v>
      </c>
      <c r="F266" t="s" s="27">
        <v>836</v>
      </c>
      <c r="G266" s="33"/>
      <c r="H266" s="34"/>
      <c r="I266" s="31"/>
      <c r="J266" s="32"/>
    </row>
    <row r="267" ht="16" customHeight="1">
      <c r="A267" t="s" s="26">
        <v>855</v>
      </c>
      <c r="B267" t="s" s="27">
        <v>41</v>
      </c>
      <c r="C267" t="s" s="27">
        <v>423</v>
      </c>
      <c r="D267" t="s" s="27">
        <v>856</v>
      </c>
      <c r="E267" t="s" s="27">
        <v>857</v>
      </c>
      <c r="F267" t="s" s="27">
        <v>836</v>
      </c>
      <c r="G267" s="33"/>
      <c r="H267" s="34"/>
      <c r="I267" s="31"/>
      <c r="J267" s="32"/>
    </row>
    <row r="268" ht="16" customHeight="1">
      <c r="A268" t="s" s="26">
        <v>858</v>
      </c>
      <c r="B268" t="s" s="27">
        <v>41</v>
      </c>
      <c r="C268" t="s" s="27">
        <v>423</v>
      </c>
      <c r="D268" t="s" s="27">
        <v>859</v>
      </c>
      <c r="E268" t="s" s="27">
        <v>860</v>
      </c>
      <c r="F268" t="s" s="27">
        <v>836</v>
      </c>
      <c r="G268" s="33"/>
      <c r="H268" s="34"/>
      <c r="I268" s="31"/>
      <c r="J268" s="32"/>
    </row>
    <row r="269" ht="16" customHeight="1">
      <c r="A269" t="s" s="26">
        <v>861</v>
      </c>
      <c r="B269" t="s" s="27">
        <v>41</v>
      </c>
      <c r="C269" t="s" s="27">
        <v>423</v>
      </c>
      <c r="D269" t="s" s="27">
        <v>862</v>
      </c>
      <c r="E269" t="s" s="27">
        <v>863</v>
      </c>
      <c r="F269" t="s" s="27">
        <v>836</v>
      </c>
      <c r="G269" s="33"/>
      <c r="H269" s="34"/>
      <c r="I269" s="31"/>
      <c r="J269" s="32"/>
    </row>
    <row r="270" ht="16" customHeight="1">
      <c r="A270" t="s" s="26">
        <v>864</v>
      </c>
      <c r="B270" t="s" s="27">
        <v>41</v>
      </c>
      <c r="C270" t="s" s="27">
        <v>42</v>
      </c>
      <c r="D270" t="s" s="27">
        <v>865</v>
      </c>
      <c r="E270" t="s" s="27">
        <v>70</v>
      </c>
      <c r="F270" t="s" s="27">
        <v>836</v>
      </c>
      <c r="G270" s="33"/>
      <c r="H270" s="34"/>
      <c r="I270" s="31"/>
      <c r="J270" s="32"/>
    </row>
    <row r="271" ht="16" customHeight="1">
      <c r="A271" t="s" s="26">
        <v>866</v>
      </c>
      <c r="B271" t="s" s="27">
        <v>41</v>
      </c>
      <c r="C271" t="s" s="27">
        <v>838</v>
      </c>
      <c r="D271" t="s" s="27">
        <v>867</v>
      </c>
      <c r="E271" t="s" s="27">
        <v>70</v>
      </c>
      <c r="F271" t="s" s="27">
        <v>836</v>
      </c>
      <c r="G271" s="33"/>
      <c r="H271" s="34"/>
      <c r="I271" s="31"/>
      <c r="J271" s="32"/>
    </row>
    <row r="272" ht="16" customHeight="1">
      <c r="A272" t="s" s="26">
        <v>868</v>
      </c>
      <c r="B272" t="s" s="27">
        <v>41</v>
      </c>
      <c r="C272" t="s" s="27">
        <v>42</v>
      </c>
      <c r="D272" t="s" s="27">
        <v>869</v>
      </c>
      <c r="E272" t="s" s="27">
        <v>75</v>
      </c>
      <c r="F272" t="s" s="27">
        <v>836</v>
      </c>
      <c r="G272" s="33"/>
      <c r="H272" s="34"/>
      <c r="I272" s="31"/>
      <c r="J272" s="32"/>
    </row>
    <row r="273" ht="24" customHeight="1">
      <c r="A273" t="s" s="26">
        <v>870</v>
      </c>
      <c r="B273" t="s" s="27">
        <v>41</v>
      </c>
      <c r="C273" t="s" s="27">
        <v>42</v>
      </c>
      <c r="D273" t="s" s="27">
        <v>871</v>
      </c>
      <c r="E273" t="s" s="27">
        <v>81</v>
      </c>
      <c r="F273" t="s" s="27">
        <v>836</v>
      </c>
      <c r="G273" s="33"/>
      <c r="H273" s="34"/>
      <c r="I273" s="31"/>
      <c r="J273" s="32"/>
    </row>
    <row r="274" ht="16" customHeight="1">
      <c r="A274" t="s" s="26">
        <v>872</v>
      </c>
      <c r="B274" t="s" s="27">
        <v>41</v>
      </c>
      <c r="C274" t="s" s="27">
        <v>838</v>
      </c>
      <c r="D274" t="s" s="27">
        <v>873</v>
      </c>
      <c r="E274" t="s" s="27">
        <v>84</v>
      </c>
      <c r="F274" t="s" s="27">
        <v>836</v>
      </c>
      <c r="G274" s="33"/>
      <c r="H274" s="34"/>
      <c r="I274" s="31"/>
      <c r="J274" s="32"/>
    </row>
    <row r="275" ht="16" customHeight="1">
      <c r="A275" t="s" s="26">
        <v>874</v>
      </c>
      <c r="B275" t="s" s="27">
        <v>41</v>
      </c>
      <c r="C275" t="s" s="27">
        <v>42</v>
      </c>
      <c r="D275" t="s" s="27">
        <v>875</v>
      </c>
      <c r="E275" t="s" s="27">
        <v>87</v>
      </c>
      <c r="F275" t="s" s="27">
        <v>836</v>
      </c>
      <c r="G275" s="33"/>
      <c r="H275" s="34"/>
      <c r="I275" s="31"/>
      <c r="J275" s="32"/>
    </row>
    <row r="276" ht="16" customHeight="1">
      <c r="A276" t="s" s="26">
        <v>876</v>
      </c>
      <c r="B276" t="s" s="27">
        <v>41</v>
      </c>
      <c r="C276" t="s" s="27">
        <v>423</v>
      </c>
      <c r="D276" t="s" s="27">
        <v>877</v>
      </c>
      <c r="E276" t="s" s="27">
        <v>91</v>
      </c>
      <c r="F276" t="s" s="27">
        <v>836</v>
      </c>
      <c r="G276" s="33"/>
      <c r="H276" s="34"/>
      <c r="I276" s="31"/>
      <c r="J276" s="32"/>
    </row>
    <row r="277" ht="24" customHeight="1">
      <c r="A277" t="s" s="26">
        <v>878</v>
      </c>
      <c r="B277" t="s" s="27">
        <v>41</v>
      </c>
      <c r="C277" t="s" s="27">
        <v>838</v>
      </c>
      <c r="D277" t="s" s="27">
        <v>879</v>
      </c>
      <c r="E277" t="s" s="27">
        <v>91</v>
      </c>
      <c r="F277" t="s" s="27">
        <v>836</v>
      </c>
      <c r="G277" s="33"/>
      <c r="H277" s="34"/>
      <c r="I277" s="31"/>
      <c r="J277" s="32"/>
    </row>
    <row r="278" ht="16" customHeight="1">
      <c r="A278" t="s" s="26">
        <v>880</v>
      </c>
      <c r="B278" t="s" s="27">
        <v>41</v>
      </c>
      <c r="C278" t="s" s="27">
        <v>423</v>
      </c>
      <c r="D278" t="s" s="27">
        <v>881</v>
      </c>
      <c r="E278" t="s" s="27">
        <v>94</v>
      </c>
      <c r="F278" t="s" s="27">
        <v>836</v>
      </c>
      <c r="G278" s="33"/>
      <c r="H278" s="34"/>
      <c r="I278" s="31"/>
      <c r="J278" s="32"/>
    </row>
    <row r="279" ht="16" customHeight="1">
      <c r="A279" t="s" s="26">
        <v>882</v>
      </c>
      <c r="B279" t="s" s="27">
        <v>41</v>
      </c>
      <c r="C279" t="s" s="27">
        <v>423</v>
      </c>
      <c r="D279" t="s" s="27">
        <v>883</v>
      </c>
      <c r="E279" t="s" s="27">
        <v>97</v>
      </c>
      <c r="F279" t="s" s="27">
        <v>836</v>
      </c>
      <c r="G279" s="33"/>
      <c r="H279" s="34"/>
      <c r="I279" s="31"/>
      <c r="J279" s="32"/>
    </row>
    <row r="280" ht="16" customHeight="1">
      <c r="A280" t="s" s="26">
        <v>884</v>
      </c>
      <c r="B280" t="s" s="27">
        <v>41</v>
      </c>
      <c r="C280" t="s" s="27">
        <v>423</v>
      </c>
      <c r="D280" t="s" s="27">
        <v>885</v>
      </c>
      <c r="E280" t="s" s="27">
        <v>100</v>
      </c>
      <c r="F280" t="s" s="27">
        <v>836</v>
      </c>
      <c r="G280" s="33"/>
      <c r="H280" s="34"/>
      <c r="I280" s="31"/>
      <c r="J280" s="32"/>
    </row>
    <row r="281" ht="16" customHeight="1">
      <c r="A281" t="s" s="26">
        <v>886</v>
      </c>
      <c r="B281" t="s" s="27">
        <v>41</v>
      </c>
      <c r="C281" t="s" s="27">
        <v>42</v>
      </c>
      <c r="D281" t="s" s="27">
        <v>887</v>
      </c>
      <c r="E281" t="s" s="27">
        <v>103</v>
      </c>
      <c r="F281" t="s" s="27">
        <v>836</v>
      </c>
      <c r="G281" s="33"/>
      <c r="H281" s="34"/>
      <c r="I281" s="31"/>
      <c r="J281" s="32"/>
    </row>
    <row r="282" ht="16" customHeight="1">
      <c r="A282" t="s" s="26">
        <v>888</v>
      </c>
      <c r="B282" t="s" s="27">
        <v>41</v>
      </c>
      <c r="C282" t="s" s="27">
        <v>42</v>
      </c>
      <c r="D282" t="s" s="27">
        <v>889</v>
      </c>
      <c r="E282" t="s" s="27">
        <v>106</v>
      </c>
      <c r="F282" t="s" s="27">
        <v>836</v>
      </c>
      <c r="G282" s="33"/>
      <c r="H282" s="34"/>
      <c r="I282" s="31"/>
      <c r="J282" s="32"/>
    </row>
    <row r="283" ht="16" customHeight="1">
      <c r="A283" t="s" s="26">
        <v>890</v>
      </c>
      <c r="B283" t="s" s="27">
        <v>41</v>
      </c>
      <c r="C283" t="s" s="27">
        <v>42</v>
      </c>
      <c r="D283" t="s" s="27">
        <v>891</v>
      </c>
      <c r="E283" t="s" s="27">
        <v>109</v>
      </c>
      <c r="F283" t="s" s="27">
        <v>836</v>
      </c>
      <c r="G283" s="33"/>
      <c r="H283" s="34"/>
      <c r="I283" s="31"/>
      <c r="J283" s="32"/>
    </row>
    <row r="284" ht="16" customHeight="1">
      <c r="A284" t="s" s="26">
        <v>892</v>
      </c>
      <c r="B284" t="s" s="27">
        <v>41</v>
      </c>
      <c r="C284" t="s" s="27">
        <v>838</v>
      </c>
      <c r="D284" t="s" s="27">
        <v>893</v>
      </c>
      <c r="E284" t="s" s="27">
        <v>109</v>
      </c>
      <c r="F284" t="s" s="27">
        <v>836</v>
      </c>
      <c r="G284" s="33"/>
      <c r="H284" s="34"/>
      <c r="I284" s="31"/>
      <c r="J284" s="32"/>
    </row>
    <row r="285" ht="16" customHeight="1">
      <c r="A285" t="s" s="26">
        <v>894</v>
      </c>
      <c r="B285" t="s" s="27">
        <v>41</v>
      </c>
      <c r="C285" t="s" s="27">
        <v>423</v>
      </c>
      <c r="D285" t="s" s="27">
        <v>895</v>
      </c>
      <c r="E285" t="s" s="27">
        <v>113</v>
      </c>
      <c r="F285" t="s" s="27">
        <v>836</v>
      </c>
      <c r="G285" s="33"/>
      <c r="H285" s="34"/>
      <c r="I285" s="31"/>
      <c r="J285" s="32"/>
    </row>
    <row r="286" ht="16" customHeight="1">
      <c r="A286" t="s" s="26">
        <v>896</v>
      </c>
      <c r="B286" t="s" s="27">
        <v>41</v>
      </c>
      <c r="C286" t="s" s="27">
        <v>42</v>
      </c>
      <c r="D286" t="s" s="27">
        <v>897</v>
      </c>
      <c r="E286" t="s" s="27">
        <v>116</v>
      </c>
      <c r="F286" t="s" s="27">
        <v>836</v>
      </c>
      <c r="G286" s="33"/>
      <c r="H286" s="34"/>
      <c r="I286" s="31"/>
      <c r="J286" s="32"/>
    </row>
    <row r="287" ht="16" customHeight="1">
      <c r="A287" t="s" s="26">
        <v>898</v>
      </c>
      <c r="B287" t="s" s="27">
        <v>41</v>
      </c>
      <c r="C287" t="s" s="27">
        <v>42</v>
      </c>
      <c r="D287" t="s" s="27">
        <v>899</v>
      </c>
      <c r="E287" t="s" s="27">
        <v>119</v>
      </c>
      <c r="F287" t="s" s="27">
        <v>836</v>
      </c>
      <c r="G287" s="33"/>
      <c r="H287" s="34"/>
      <c r="I287" s="31"/>
      <c r="J287" s="32"/>
    </row>
    <row r="288" ht="16" customHeight="1">
      <c r="A288" t="s" s="26">
        <v>900</v>
      </c>
      <c r="B288" t="s" s="27">
        <v>41</v>
      </c>
      <c r="C288" t="s" s="27">
        <v>42</v>
      </c>
      <c r="D288" t="s" s="27">
        <v>901</v>
      </c>
      <c r="E288" t="s" s="27">
        <v>122</v>
      </c>
      <c r="F288" t="s" s="27">
        <v>836</v>
      </c>
      <c r="G288" s="33"/>
      <c r="H288" s="34"/>
      <c r="I288" s="31"/>
      <c r="J288" s="32"/>
    </row>
    <row r="289" ht="16" customHeight="1">
      <c r="A289" t="s" s="26">
        <v>902</v>
      </c>
      <c r="B289" t="s" s="27">
        <v>41</v>
      </c>
      <c r="C289" t="s" s="27">
        <v>449</v>
      </c>
      <c r="D289" t="s" s="27">
        <v>903</v>
      </c>
      <c r="E289" t="s" s="27">
        <v>125</v>
      </c>
      <c r="F289" t="s" s="27">
        <v>836</v>
      </c>
      <c r="G289" s="33"/>
      <c r="H289" s="34"/>
      <c r="I289" s="31"/>
      <c r="J289" s="32"/>
    </row>
    <row r="290" ht="16" customHeight="1">
      <c r="A290" t="s" s="26">
        <v>904</v>
      </c>
      <c r="B290" t="s" s="27">
        <v>41</v>
      </c>
      <c r="C290" t="s" s="27">
        <v>838</v>
      </c>
      <c r="D290" t="s" s="27">
        <v>905</v>
      </c>
      <c r="E290" t="s" s="27">
        <v>906</v>
      </c>
      <c r="F290" t="s" s="27">
        <v>836</v>
      </c>
      <c r="G290" s="33"/>
      <c r="H290" s="34"/>
      <c r="I290" s="31"/>
      <c r="J290" s="32"/>
    </row>
    <row r="291" ht="16" customHeight="1">
      <c r="A291" t="s" s="26">
        <v>907</v>
      </c>
      <c r="B291" t="s" s="27">
        <v>41</v>
      </c>
      <c r="C291" t="s" s="27">
        <v>423</v>
      </c>
      <c r="D291" t="s" s="27">
        <v>908</v>
      </c>
      <c r="E291" t="s" s="27">
        <v>128</v>
      </c>
      <c r="F291" t="s" s="27">
        <v>836</v>
      </c>
      <c r="G291" s="33"/>
      <c r="H291" s="34"/>
      <c r="I291" s="31"/>
      <c r="J291" s="32"/>
    </row>
    <row r="292" ht="16" customHeight="1">
      <c r="A292" t="s" s="26">
        <v>909</v>
      </c>
      <c r="B292" t="s" s="27">
        <v>41</v>
      </c>
      <c r="C292" t="s" s="27">
        <v>423</v>
      </c>
      <c r="D292" t="s" s="27">
        <v>910</v>
      </c>
      <c r="E292" t="s" s="27">
        <v>911</v>
      </c>
      <c r="F292" t="s" s="27">
        <v>836</v>
      </c>
      <c r="G292" s="33"/>
      <c r="H292" s="34"/>
      <c r="I292" s="31"/>
      <c r="J292" s="32"/>
    </row>
    <row r="293" ht="16" customHeight="1">
      <c r="A293" t="s" s="26">
        <v>912</v>
      </c>
      <c r="B293" t="s" s="27">
        <v>41</v>
      </c>
      <c r="C293" t="s" s="27">
        <v>42</v>
      </c>
      <c r="D293" t="s" s="27">
        <v>913</v>
      </c>
      <c r="E293" t="s" s="27">
        <v>914</v>
      </c>
      <c r="F293" t="s" s="27">
        <v>836</v>
      </c>
      <c r="G293" s="33"/>
      <c r="H293" s="34"/>
      <c r="I293" s="31"/>
      <c r="J293" s="32"/>
    </row>
    <row r="294" ht="16" customHeight="1">
      <c r="A294" t="s" s="26">
        <v>915</v>
      </c>
      <c r="B294" t="s" s="27">
        <v>41</v>
      </c>
      <c r="C294" t="s" s="27">
        <v>449</v>
      </c>
      <c r="D294" t="s" s="27">
        <v>916</v>
      </c>
      <c r="E294" t="s" s="27">
        <v>917</v>
      </c>
      <c r="F294" t="s" s="27">
        <v>836</v>
      </c>
      <c r="G294" s="33"/>
      <c r="H294" s="34"/>
      <c r="I294" s="31"/>
      <c r="J294" s="32"/>
    </row>
    <row r="295" ht="16" customHeight="1">
      <c r="A295" t="s" s="26">
        <v>918</v>
      </c>
      <c r="B295" t="s" s="27">
        <v>41</v>
      </c>
      <c r="C295" t="s" s="27">
        <v>838</v>
      </c>
      <c r="D295" t="s" s="27">
        <v>919</v>
      </c>
      <c r="E295" t="s" s="27">
        <v>131</v>
      </c>
      <c r="F295" t="s" s="27">
        <v>836</v>
      </c>
      <c r="G295" s="33"/>
      <c r="H295" s="34"/>
      <c r="I295" s="31"/>
      <c r="J295" s="32"/>
    </row>
    <row r="296" ht="16" customHeight="1">
      <c r="A296" t="s" s="26">
        <v>920</v>
      </c>
      <c r="B296" t="s" s="27">
        <v>41</v>
      </c>
      <c r="C296" t="s" s="27">
        <v>42</v>
      </c>
      <c r="D296" t="s" s="27">
        <v>921</v>
      </c>
      <c r="E296" t="s" s="27">
        <v>134</v>
      </c>
      <c r="F296" t="s" s="27">
        <v>836</v>
      </c>
      <c r="G296" s="33"/>
      <c r="H296" s="34"/>
      <c r="I296" s="31"/>
      <c r="J296" s="32"/>
    </row>
    <row r="297" ht="16" customHeight="1">
      <c r="A297" t="s" s="26">
        <v>922</v>
      </c>
      <c r="B297" t="s" s="27">
        <v>41</v>
      </c>
      <c r="C297" t="s" s="27">
        <v>42</v>
      </c>
      <c r="D297" t="s" s="27">
        <v>923</v>
      </c>
      <c r="E297" t="s" s="27">
        <v>137</v>
      </c>
      <c r="F297" t="s" s="27">
        <v>836</v>
      </c>
      <c r="G297" s="33"/>
      <c r="H297" s="34"/>
      <c r="I297" s="31"/>
      <c r="J297" s="32"/>
    </row>
    <row r="298" ht="16" customHeight="1">
      <c r="A298" t="s" s="26">
        <v>924</v>
      </c>
      <c r="B298" t="s" s="27">
        <v>41</v>
      </c>
      <c r="C298" t="s" s="27">
        <v>423</v>
      </c>
      <c r="D298" t="s" s="27">
        <v>925</v>
      </c>
      <c r="E298" t="s" s="27">
        <v>140</v>
      </c>
      <c r="F298" t="s" s="27">
        <v>836</v>
      </c>
      <c r="G298" s="33"/>
      <c r="H298" s="34"/>
      <c r="I298" s="31"/>
      <c r="J298" s="32"/>
    </row>
    <row r="299" ht="16" customHeight="1">
      <c r="A299" t="s" s="26">
        <v>926</v>
      </c>
      <c r="B299" t="s" s="27">
        <v>41</v>
      </c>
      <c r="C299" t="s" s="27">
        <v>449</v>
      </c>
      <c r="D299" t="s" s="27">
        <v>927</v>
      </c>
      <c r="E299" t="s" s="27">
        <v>928</v>
      </c>
      <c r="F299" t="s" s="27">
        <v>836</v>
      </c>
      <c r="G299" s="33"/>
      <c r="H299" s="34"/>
      <c r="I299" s="31"/>
      <c r="J299" s="32"/>
    </row>
    <row r="300" ht="16" customHeight="1">
      <c r="A300" t="s" s="26">
        <v>929</v>
      </c>
      <c r="B300" t="s" s="27">
        <v>41</v>
      </c>
      <c r="C300" t="s" s="27">
        <v>423</v>
      </c>
      <c r="D300" t="s" s="27">
        <v>930</v>
      </c>
      <c r="E300" t="s" s="27">
        <v>143</v>
      </c>
      <c r="F300" t="s" s="27">
        <v>836</v>
      </c>
      <c r="G300" s="33"/>
      <c r="H300" s="34"/>
      <c r="I300" s="31"/>
      <c r="J300" s="32"/>
    </row>
    <row r="301" ht="16" customHeight="1">
      <c r="A301" t="s" s="26">
        <v>931</v>
      </c>
      <c r="B301" t="s" s="27">
        <v>41</v>
      </c>
      <c r="C301" t="s" s="27">
        <v>423</v>
      </c>
      <c r="D301" t="s" s="27">
        <v>932</v>
      </c>
      <c r="E301" t="s" s="27">
        <v>146</v>
      </c>
      <c r="F301" t="s" s="27">
        <v>836</v>
      </c>
      <c r="G301" s="33"/>
      <c r="H301" s="34"/>
      <c r="I301" s="31"/>
      <c r="J301" s="32"/>
    </row>
    <row r="302" ht="16" customHeight="1">
      <c r="A302" t="s" s="26">
        <v>933</v>
      </c>
      <c r="B302" t="s" s="27">
        <v>41</v>
      </c>
      <c r="C302" t="s" s="27">
        <v>423</v>
      </c>
      <c r="D302" t="s" s="27">
        <v>934</v>
      </c>
      <c r="E302" t="s" s="27">
        <v>149</v>
      </c>
      <c r="F302" t="s" s="27">
        <v>836</v>
      </c>
      <c r="G302" s="33"/>
      <c r="H302" s="34"/>
      <c r="I302" s="31"/>
      <c r="J302" s="32"/>
    </row>
    <row r="303" ht="16" customHeight="1">
      <c r="A303" t="s" s="26">
        <v>935</v>
      </c>
      <c r="B303" t="s" s="27">
        <v>41</v>
      </c>
      <c r="C303" t="s" s="27">
        <v>42</v>
      </c>
      <c r="D303" t="s" s="27">
        <v>936</v>
      </c>
      <c r="E303" t="s" s="27">
        <v>149</v>
      </c>
      <c r="F303" t="s" s="27">
        <v>836</v>
      </c>
      <c r="G303" s="33"/>
      <c r="H303" s="34"/>
      <c r="I303" s="31"/>
      <c r="J303" s="32"/>
    </row>
    <row r="304" ht="16" customHeight="1">
      <c r="A304" t="s" s="26">
        <v>937</v>
      </c>
      <c r="B304" t="s" s="27">
        <v>41</v>
      </c>
      <c r="C304" t="s" s="27">
        <v>449</v>
      </c>
      <c r="D304" t="s" s="27">
        <v>938</v>
      </c>
      <c r="E304" t="s" s="27">
        <v>152</v>
      </c>
      <c r="F304" t="s" s="27">
        <v>836</v>
      </c>
      <c r="G304" s="33"/>
      <c r="H304" s="34"/>
      <c r="I304" s="31"/>
      <c r="J304" s="32"/>
    </row>
    <row r="305" ht="24" customHeight="1">
      <c r="A305" t="s" s="26">
        <v>939</v>
      </c>
      <c r="B305" t="s" s="27">
        <v>41</v>
      </c>
      <c r="C305" t="s" s="27">
        <v>449</v>
      </c>
      <c r="D305" t="s" s="27">
        <v>940</v>
      </c>
      <c r="E305" t="s" s="27">
        <v>155</v>
      </c>
      <c r="F305" t="s" s="27">
        <v>836</v>
      </c>
      <c r="G305" s="33"/>
      <c r="H305" s="34"/>
      <c r="I305" s="31"/>
      <c r="J305" s="32"/>
    </row>
    <row r="306" ht="16" customHeight="1">
      <c r="A306" t="s" s="26">
        <v>941</v>
      </c>
      <c r="B306" t="s" s="27">
        <v>41</v>
      </c>
      <c r="C306" t="s" s="27">
        <v>423</v>
      </c>
      <c r="D306" t="s" s="27">
        <v>942</v>
      </c>
      <c r="E306" t="s" s="27">
        <v>158</v>
      </c>
      <c r="F306" t="s" s="27">
        <v>836</v>
      </c>
      <c r="G306" s="33"/>
      <c r="H306" s="34"/>
      <c r="I306" s="31"/>
      <c r="J306" s="32"/>
    </row>
    <row r="307" ht="16" customHeight="1">
      <c r="A307" t="s" s="26">
        <v>943</v>
      </c>
      <c r="B307" t="s" s="27">
        <v>41</v>
      </c>
      <c r="C307" t="s" s="27">
        <v>449</v>
      </c>
      <c r="D307" t="s" s="27">
        <v>944</v>
      </c>
      <c r="E307" t="s" s="27">
        <v>161</v>
      </c>
      <c r="F307" t="s" s="27">
        <v>836</v>
      </c>
      <c r="G307" s="33"/>
      <c r="H307" s="34"/>
      <c r="I307" s="31"/>
      <c r="J307" s="32"/>
    </row>
    <row r="308" ht="16" customHeight="1">
      <c r="A308" t="s" s="26">
        <v>945</v>
      </c>
      <c r="B308" t="s" s="27">
        <v>41</v>
      </c>
      <c r="C308" t="s" s="27">
        <v>449</v>
      </c>
      <c r="D308" t="s" s="27">
        <v>946</v>
      </c>
      <c r="E308" t="s" s="27">
        <v>164</v>
      </c>
      <c r="F308" t="s" s="27">
        <v>836</v>
      </c>
      <c r="G308" s="33"/>
      <c r="H308" s="34"/>
      <c r="I308" s="31"/>
      <c r="J308" s="32"/>
    </row>
    <row r="309" ht="16" customHeight="1">
      <c r="A309" t="s" s="26">
        <v>947</v>
      </c>
      <c r="B309" t="s" s="27">
        <v>41</v>
      </c>
      <c r="C309" t="s" s="27">
        <v>423</v>
      </c>
      <c r="D309" t="s" s="27">
        <v>948</v>
      </c>
      <c r="E309" t="s" s="27">
        <v>167</v>
      </c>
      <c r="F309" t="s" s="27">
        <v>836</v>
      </c>
      <c r="G309" s="33"/>
      <c r="H309" s="34"/>
      <c r="I309" s="31"/>
      <c r="J309" s="32"/>
    </row>
    <row r="310" ht="16" customHeight="1">
      <c r="A310" t="s" s="26">
        <v>949</v>
      </c>
      <c r="B310" t="s" s="27">
        <v>41</v>
      </c>
      <c r="C310" t="s" s="27">
        <v>838</v>
      </c>
      <c r="D310" t="s" s="27">
        <v>950</v>
      </c>
      <c r="E310" t="s" s="27">
        <v>167</v>
      </c>
      <c r="F310" t="s" s="27">
        <v>836</v>
      </c>
      <c r="G310" s="33"/>
      <c r="H310" s="34"/>
      <c r="I310" s="31"/>
      <c r="J310" s="32"/>
    </row>
    <row r="311" ht="16" customHeight="1">
      <c r="A311" t="s" s="26">
        <v>951</v>
      </c>
      <c r="B311" t="s" s="27">
        <v>41</v>
      </c>
      <c r="C311" t="s" s="27">
        <v>42</v>
      </c>
      <c r="D311" t="s" s="27">
        <v>952</v>
      </c>
      <c r="E311" t="s" s="27">
        <v>170</v>
      </c>
      <c r="F311" t="s" s="27">
        <v>836</v>
      </c>
      <c r="G311" s="33"/>
      <c r="H311" s="34"/>
      <c r="I311" s="31"/>
      <c r="J311" s="32"/>
    </row>
    <row r="312" ht="16" customHeight="1">
      <c r="A312" t="s" s="26">
        <v>953</v>
      </c>
      <c r="B312" t="s" s="27">
        <v>41</v>
      </c>
      <c r="C312" t="s" s="27">
        <v>838</v>
      </c>
      <c r="D312" t="s" s="27">
        <v>954</v>
      </c>
      <c r="E312" t="s" s="27">
        <v>173</v>
      </c>
      <c r="F312" t="s" s="27">
        <v>836</v>
      </c>
      <c r="G312" s="33">
        <v>0</v>
      </c>
      <c r="H312" t="s" s="29">
        <v>291</v>
      </c>
      <c r="I312" s="31"/>
      <c r="J312" s="32"/>
    </row>
    <row r="313" ht="16" customHeight="1">
      <c r="A313" t="s" s="26">
        <v>955</v>
      </c>
      <c r="B313" t="s" s="27">
        <v>41</v>
      </c>
      <c r="C313" t="s" s="27">
        <v>42</v>
      </c>
      <c r="D313" t="s" s="27">
        <v>956</v>
      </c>
      <c r="E313" t="s" s="27">
        <v>176</v>
      </c>
      <c r="F313" t="s" s="27">
        <v>836</v>
      </c>
      <c r="G313" s="33">
        <v>0</v>
      </c>
      <c r="H313" t="s" s="29">
        <v>291</v>
      </c>
      <c r="I313" s="31"/>
      <c r="J313" s="32"/>
    </row>
    <row r="314" ht="16" customHeight="1">
      <c r="A314" t="s" s="26">
        <v>957</v>
      </c>
      <c r="B314" t="s" s="27">
        <v>41</v>
      </c>
      <c r="C314" t="s" s="27">
        <v>449</v>
      </c>
      <c r="D314" t="s" s="27">
        <v>958</v>
      </c>
      <c r="E314" t="s" s="27">
        <v>179</v>
      </c>
      <c r="F314" t="s" s="27">
        <v>836</v>
      </c>
      <c r="G314" s="33">
        <v>0</v>
      </c>
      <c r="H314" t="s" s="29">
        <v>291</v>
      </c>
      <c r="I314" s="31"/>
      <c r="J314" s="32"/>
    </row>
    <row r="315" ht="16" customHeight="1">
      <c r="A315" t="s" s="26">
        <v>959</v>
      </c>
      <c r="B315" t="s" s="27">
        <v>41</v>
      </c>
      <c r="C315" t="s" s="27">
        <v>423</v>
      </c>
      <c r="D315" t="s" s="27">
        <v>960</v>
      </c>
      <c r="E315" t="s" s="27">
        <v>182</v>
      </c>
      <c r="F315" t="s" s="27">
        <v>836</v>
      </c>
      <c r="G315" s="33">
        <v>0</v>
      </c>
      <c r="H315" t="s" s="29">
        <v>291</v>
      </c>
      <c r="I315" s="31"/>
      <c r="J315" s="32"/>
    </row>
    <row r="316" ht="16" customHeight="1">
      <c r="A316" t="s" s="26">
        <v>961</v>
      </c>
      <c r="B316" t="s" s="27">
        <v>41</v>
      </c>
      <c r="C316" t="s" s="27">
        <v>42</v>
      </c>
      <c r="D316" t="s" s="27">
        <v>962</v>
      </c>
      <c r="E316" t="s" s="27">
        <v>185</v>
      </c>
      <c r="F316" t="s" s="27">
        <v>836</v>
      </c>
      <c r="G316" s="33">
        <v>0</v>
      </c>
      <c r="H316" t="s" s="29">
        <v>291</v>
      </c>
      <c r="I316" s="31"/>
      <c r="J316" s="32"/>
    </row>
    <row r="317" ht="16" customHeight="1">
      <c r="A317" t="s" s="26">
        <v>963</v>
      </c>
      <c r="B317" t="s" s="27">
        <v>41</v>
      </c>
      <c r="C317" t="s" s="27">
        <v>838</v>
      </c>
      <c r="D317" t="s" s="27">
        <v>964</v>
      </c>
      <c r="E317" t="s" s="27">
        <v>188</v>
      </c>
      <c r="F317" t="s" s="27">
        <v>836</v>
      </c>
      <c r="G317" s="33">
        <v>0</v>
      </c>
      <c r="H317" t="s" s="29">
        <v>291</v>
      </c>
      <c r="I317" s="31"/>
      <c r="J317" s="32"/>
    </row>
    <row r="318" ht="16" customHeight="1">
      <c r="A318" t="s" s="26">
        <v>965</v>
      </c>
      <c r="B318" t="s" s="27">
        <v>41</v>
      </c>
      <c r="C318" t="s" s="27">
        <v>838</v>
      </c>
      <c r="D318" t="s" s="27">
        <v>966</v>
      </c>
      <c r="E318" t="s" s="27">
        <v>191</v>
      </c>
      <c r="F318" t="s" s="27">
        <v>836</v>
      </c>
      <c r="G318" s="33">
        <v>0</v>
      </c>
      <c r="H318" t="s" s="29">
        <v>291</v>
      </c>
      <c r="I318" s="31"/>
      <c r="J318" s="32"/>
    </row>
    <row r="319" ht="16" customHeight="1">
      <c r="A319" t="s" s="26">
        <v>967</v>
      </c>
      <c r="B319" t="s" s="27">
        <v>41</v>
      </c>
      <c r="C319" t="s" s="27">
        <v>838</v>
      </c>
      <c r="D319" t="s" s="27">
        <v>968</v>
      </c>
      <c r="E319" t="s" s="27">
        <v>194</v>
      </c>
      <c r="F319" t="s" s="27">
        <v>836</v>
      </c>
      <c r="G319" s="33">
        <v>0</v>
      </c>
      <c r="H319" t="s" s="29">
        <v>291</v>
      </c>
      <c r="I319" s="31"/>
      <c r="J319" s="32"/>
    </row>
    <row r="320" ht="16" customHeight="1">
      <c r="A320" t="s" s="26">
        <v>969</v>
      </c>
      <c r="B320" t="s" s="27">
        <v>41</v>
      </c>
      <c r="C320" t="s" s="27">
        <v>449</v>
      </c>
      <c r="D320" t="s" s="27">
        <v>970</v>
      </c>
      <c r="E320" t="s" s="27">
        <v>197</v>
      </c>
      <c r="F320" t="s" s="27">
        <v>836</v>
      </c>
      <c r="G320" s="33">
        <v>0</v>
      </c>
      <c r="H320" t="s" s="29">
        <v>291</v>
      </c>
      <c r="I320" s="31"/>
      <c r="J320" s="32"/>
    </row>
    <row r="321" ht="16" customHeight="1">
      <c r="A321" t="s" s="26">
        <v>971</v>
      </c>
      <c r="B321" t="s" s="27">
        <v>41</v>
      </c>
      <c r="C321" t="s" s="27">
        <v>42</v>
      </c>
      <c r="D321" t="s" s="27">
        <v>972</v>
      </c>
      <c r="E321" t="s" s="27">
        <v>200</v>
      </c>
      <c r="F321" t="s" s="27">
        <v>836</v>
      </c>
      <c r="G321" s="33">
        <v>0</v>
      </c>
      <c r="H321" t="s" s="29">
        <v>291</v>
      </c>
      <c r="I321" s="31"/>
      <c r="J321" s="32"/>
    </row>
    <row r="322" ht="16" customHeight="1">
      <c r="A322" t="s" s="26">
        <v>973</v>
      </c>
      <c r="B322" t="s" s="27">
        <v>41</v>
      </c>
      <c r="C322" t="s" s="27">
        <v>423</v>
      </c>
      <c r="D322" t="s" s="27">
        <v>974</v>
      </c>
      <c r="E322" t="s" s="27">
        <v>203</v>
      </c>
      <c r="F322" t="s" s="27">
        <v>836</v>
      </c>
      <c r="G322" s="33">
        <v>0</v>
      </c>
      <c r="H322" t="s" s="29">
        <v>291</v>
      </c>
      <c r="I322" s="31"/>
      <c r="J322" s="32"/>
    </row>
    <row r="323" ht="16" customHeight="1">
      <c r="A323" t="s" s="26">
        <v>975</v>
      </c>
      <c r="B323" t="s" s="27">
        <v>41</v>
      </c>
      <c r="C323" t="s" s="27">
        <v>423</v>
      </c>
      <c r="D323" t="s" s="27">
        <v>976</v>
      </c>
      <c r="E323" t="s" s="27">
        <v>203</v>
      </c>
      <c r="F323" t="s" s="27">
        <v>836</v>
      </c>
      <c r="G323" s="33">
        <v>0</v>
      </c>
      <c r="H323" t="s" s="29">
        <v>291</v>
      </c>
      <c r="I323" s="31"/>
      <c r="J323" s="32"/>
    </row>
    <row r="324" ht="16" customHeight="1">
      <c r="A324" t="s" s="26">
        <v>977</v>
      </c>
      <c r="B324" t="s" s="27">
        <v>41</v>
      </c>
      <c r="C324" t="s" s="27">
        <v>423</v>
      </c>
      <c r="D324" t="s" s="27">
        <v>978</v>
      </c>
      <c r="E324" t="s" s="27">
        <v>206</v>
      </c>
      <c r="F324" t="s" s="27">
        <v>836</v>
      </c>
      <c r="G324" s="33">
        <v>0</v>
      </c>
      <c r="H324" t="s" s="29">
        <v>291</v>
      </c>
      <c r="I324" s="31"/>
      <c r="J324" s="32"/>
    </row>
    <row r="325" ht="16" customHeight="1">
      <c r="A325" t="s" s="26">
        <v>979</v>
      </c>
      <c r="B325" t="s" s="27">
        <v>41</v>
      </c>
      <c r="C325" t="s" s="27">
        <v>449</v>
      </c>
      <c r="D325" t="s" s="27">
        <v>980</v>
      </c>
      <c r="E325" t="s" s="27">
        <v>209</v>
      </c>
      <c r="F325" t="s" s="27">
        <v>836</v>
      </c>
      <c r="G325" s="33">
        <v>0</v>
      </c>
      <c r="H325" t="s" s="29">
        <v>291</v>
      </c>
      <c r="I325" s="31"/>
      <c r="J325" s="32"/>
    </row>
    <row r="326" ht="16" customHeight="1">
      <c r="A326" t="s" s="26">
        <v>981</v>
      </c>
      <c r="B326" t="s" s="27">
        <v>41</v>
      </c>
      <c r="C326" t="s" s="27">
        <v>42</v>
      </c>
      <c r="D326" t="s" s="27">
        <v>982</v>
      </c>
      <c r="E326" t="s" s="27">
        <v>212</v>
      </c>
      <c r="F326" t="s" s="27">
        <v>836</v>
      </c>
      <c r="G326" s="33">
        <v>0</v>
      </c>
      <c r="H326" t="s" s="29">
        <v>291</v>
      </c>
      <c r="I326" s="31"/>
      <c r="J326" s="32"/>
    </row>
    <row r="327" ht="16" customHeight="1">
      <c r="A327" t="s" s="26">
        <v>983</v>
      </c>
      <c r="B327" t="s" s="27">
        <v>41</v>
      </c>
      <c r="C327" t="s" s="27">
        <v>838</v>
      </c>
      <c r="D327" t="s" s="27">
        <v>984</v>
      </c>
      <c r="E327" t="s" s="27">
        <v>215</v>
      </c>
      <c r="F327" t="s" s="27">
        <v>836</v>
      </c>
      <c r="G327" s="33">
        <v>0</v>
      </c>
      <c r="H327" t="s" s="29">
        <v>291</v>
      </c>
      <c r="I327" s="31"/>
      <c r="J327" s="32"/>
    </row>
    <row r="328" ht="16" customHeight="1">
      <c r="A328" t="s" s="26">
        <v>985</v>
      </c>
      <c r="B328" t="s" s="27">
        <v>41</v>
      </c>
      <c r="C328" t="s" s="27">
        <v>42</v>
      </c>
      <c r="D328" t="s" s="27">
        <v>986</v>
      </c>
      <c r="E328" t="s" s="27">
        <v>218</v>
      </c>
      <c r="F328" t="s" s="27">
        <v>836</v>
      </c>
      <c r="G328" s="33">
        <v>0</v>
      </c>
      <c r="H328" t="s" s="29">
        <v>291</v>
      </c>
      <c r="I328" s="31"/>
      <c r="J328" s="32"/>
    </row>
    <row r="329" ht="16" customHeight="1">
      <c r="A329" t="s" s="26">
        <v>987</v>
      </c>
      <c r="B329" t="s" s="27">
        <v>41</v>
      </c>
      <c r="C329" t="s" s="27">
        <v>42</v>
      </c>
      <c r="D329" t="s" s="27">
        <v>988</v>
      </c>
      <c r="E329" t="s" s="27">
        <v>221</v>
      </c>
      <c r="F329" t="s" s="27">
        <v>836</v>
      </c>
      <c r="G329" s="33">
        <v>0</v>
      </c>
      <c r="H329" t="s" s="29">
        <v>291</v>
      </c>
      <c r="I329" s="31"/>
      <c r="J329" s="32"/>
    </row>
    <row r="330" ht="24" customHeight="1">
      <c r="A330" t="s" s="26">
        <v>989</v>
      </c>
      <c r="B330" t="s" s="27">
        <v>41</v>
      </c>
      <c r="C330" t="s" s="27">
        <v>42</v>
      </c>
      <c r="D330" t="s" s="27">
        <v>990</v>
      </c>
      <c r="E330" t="s" s="27">
        <v>221</v>
      </c>
      <c r="F330" t="s" s="27">
        <v>836</v>
      </c>
      <c r="G330" s="33">
        <v>0</v>
      </c>
      <c r="H330" t="s" s="29">
        <v>291</v>
      </c>
      <c r="I330" s="31"/>
      <c r="J330" s="32"/>
    </row>
    <row r="331" ht="16" customHeight="1">
      <c r="A331" t="s" s="26">
        <v>991</v>
      </c>
      <c r="B331" t="s" s="27">
        <v>41</v>
      </c>
      <c r="C331" t="s" s="27">
        <v>423</v>
      </c>
      <c r="D331" t="s" s="27">
        <v>992</v>
      </c>
      <c r="E331" t="s" s="27">
        <v>224</v>
      </c>
      <c r="F331" t="s" s="27">
        <v>836</v>
      </c>
      <c r="G331" s="33">
        <v>0</v>
      </c>
      <c r="H331" t="s" s="29">
        <v>291</v>
      </c>
      <c r="I331" s="31"/>
      <c r="J331" s="32"/>
    </row>
    <row r="332" ht="24" customHeight="1">
      <c r="A332" t="s" s="26">
        <v>993</v>
      </c>
      <c r="B332" t="s" s="27">
        <v>41</v>
      </c>
      <c r="C332" t="s" s="27">
        <v>42</v>
      </c>
      <c r="D332" t="s" s="27">
        <v>994</v>
      </c>
      <c r="E332" t="s" s="27">
        <v>230</v>
      </c>
      <c r="F332" t="s" s="27">
        <v>836</v>
      </c>
      <c r="G332" s="33"/>
      <c r="H332" s="34"/>
      <c r="I332" s="31"/>
      <c r="J332" s="32"/>
    </row>
    <row r="333" ht="16" customHeight="1">
      <c r="A333" t="s" s="26">
        <v>995</v>
      </c>
      <c r="B333" t="s" s="27">
        <v>41</v>
      </c>
      <c r="C333" t="s" s="27">
        <v>449</v>
      </c>
      <c r="D333" t="s" s="27">
        <v>996</v>
      </c>
      <c r="E333" t="s" s="27">
        <v>233</v>
      </c>
      <c r="F333" t="s" s="27">
        <v>836</v>
      </c>
      <c r="G333" s="33"/>
      <c r="H333" s="34"/>
      <c r="I333" s="31"/>
      <c r="J333" s="32"/>
    </row>
    <row r="334" ht="16" customHeight="1">
      <c r="A334" t="s" s="26">
        <v>997</v>
      </c>
      <c r="B334" t="s" s="27">
        <v>41</v>
      </c>
      <c r="C334" t="s" s="27">
        <v>42</v>
      </c>
      <c r="D334" t="s" s="27">
        <v>998</v>
      </c>
      <c r="E334" t="s" s="27">
        <v>236</v>
      </c>
      <c r="F334" t="s" s="27">
        <v>836</v>
      </c>
      <c r="G334" s="33"/>
      <c r="H334" s="34"/>
      <c r="I334" s="31"/>
      <c r="J334" s="32"/>
    </row>
    <row r="335" ht="16" customHeight="1">
      <c r="A335" t="s" s="26">
        <v>999</v>
      </c>
      <c r="B335" t="s" s="27">
        <v>41</v>
      </c>
      <c r="C335" t="s" s="27">
        <v>838</v>
      </c>
      <c r="D335" t="s" s="27">
        <v>1000</v>
      </c>
      <c r="E335" t="s" s="27">
        <v>239</v>
      </c>
      <c r="F335" t="s" s="27">
        <v>836</v>
      </c>
      <c r="G335" s="33"/>
      <c r="H335" s="34"/>
      <c r="I335" s="31"/>
      <c r="J335" s="32"/>
    </row>
    <row r="336" ht="24" customHeight="1">
      <c r="A336" t="s" s="26">
        <v>1001</v>
      </c>
      <c r="B336" t="s" s="27">
        <v>41</v>
      </c>
      <c r="C336" t="s" s="27">
        <v>449</v>
      </c>
      <c r="D336" t="s" s="27">
        <v>1002</v>
      </c>
      <c r="E336" t="s" s="27">
        <v>239</v>
      </c>
      <c r="F336" t="s" s="27">
        <v>836</v>
      </c>
      <c r="G336" s="33"/>
      <c r="H336" s="34"/>
      <c r="I336" s="31"/>
      <c r="J336" s="32"/>
    </row>
    <row r="337" ht="16" customHeight="1">
      <c r="A337" t="s" s="26">
        <v>1003</v>
      </c>
      <c r="B337" t="s" s="27">
        <v>41</v>
      </c>
      <c r="C337" t="s" s="27">
        <v>42</v>
      </c>
      <c r="D337" t="s" s="27">
        <v>1004</v>
      </c>
      <c r="E337" t="s" s="27">
        <v>242</v>
      </c>
      <c r="F337" t="s" s="27">
        <v>836</v>
      </c>
      <c r="G337" s="33"/>
      <c r="H337" s="34"/>
      <c r="I337" s="31"/>
      <c r="J337" s="32"/>
    </row>
    <row r="338" ht="16" customHeight="1">
      <c r="A338" t="s" s="26">
        <v>1005</v>
      </c>
      <c r="B338" t="s" s="27">
        <v>41</v>
      </c>
      <c r="C338" t="s" s="27">
        <v>42</v>
      </c>
      <c r="D338" t="s" s="27">
        <v>1006</v>
      </c>
      <c r="E338" t="s" s="27">
        <v>245</v>
      </c>
      <c r="F338" t="s" s="27">
        <v>836</v>
      </c>
      <c r="G338" s="33"/>
      <c r="H338" s="34"/>
      <c r="I338" s="31"/>
      <c r="J338" s="32"/>
    </row>
    <row r="339" ht="16" customHeight="1">
      <c r="A339" t="s" s="26">
        <v>1007</v>
      </c>
      <c r="B339" t="s" s="27">
        <v>41</v>
      </c>
      <c r="C339" t="s" s="27">
        <v>42</v>
      </c>
      <c r="D339" t="s" s="27">
        <v>1008</v>
      </c>
      <c r="E339" t="s" s="27">
        <v>248</v>
      </c>
      <c r="F339" t="s" s="27">
        <v>836</v>
      </c>
      <c r="G339" s="33"/>
      <c r="H339" s="34"/>
      <c r="I339" s="31"/>
      <c r="J339" s="32"/>
    </row>
    <row r="340" ht="16" customHeight="1">
      <c r="A340" t="s" s="26">
        <v>1009</v>
      </c>
      <c r="B340" t="s" s="27">
        <v>41</v>
      </c>
      <c r="C340" t="s" s="27">
        <v>42</v>
      </c>
      <c r="D340" t="s" s="27">
        <v>1010</v>
      </c>
      <c r="E340" t="s" s="27">
        <v>1011</v>
      </c>
      <c r="F340" t="s" s="27">
        <v>836</v>
      </c>
      <c r="G340" s="33"/>
      <c r="H340" s="34"/>
      <c r="I340" s="31"/>
      <c r="J340" s="32"/>
    </row>
    <row r="341" ht="16" customHeight="1">
      <c r="A341" t="s" s="26">
        <v>1012</v>
      </c>
      <c r="B341" t="s" s="27">
        <v>41</v>
      </c>
      <c r="C341" t="s" s="27">
        <v>42</v>
      </c>
      <c r="D341" t="s" s="27">
        <v>1013</v>
      </c>
      <c r="E341" t="s" s="27">
        <v>251</v>
      </c>
      <c r="F341" t="s" s="27">
        <v>836</v>
      </c>
      <c r="G341" s="33"/>
      <c r="H341" s="34"/>
      <c r="I341" s="31"/>
      <c r="J341" s="32"/>
    </row>
    <row r="342" ht="16" customHeight="1">
      <c r="A342" t="s" s="26">
        <v>1014</v>
      </c>
      <c r="B342" t="s" s="27">
        <v>41</v>
      </c>
      <c r="C342" t="s" s="27">
        <v>42</v>
      </c>
      <c r="D342" t="s" s="27">
        <v>1015</v>
      </c>
      <c r="E342" t="s" s="27">
        <v>1016</v>
      </c>
      <c r="F342" t="s" s="27">
        <v>836</v>
      </c>
      <c r="G342" s="33"/>
      <c r="H342" s="34"/>
      <c r="I342" s="31"/>
      <c r="J342" s="32"/>
    </row>
    <row r="343" ht="16" customHeight="1">
      <c r="A343" t="s" s="26">
        <v>1017</v>
      </c>
      <c r="B343" t="s" s="27">
        <v>41</v>
      </c>
      <c r="C343" t="s" s="27">
        <v>42</v>
      </c>
      <c r="D343" t="s" s="27">
        <v>1018</v>
      </c>
      <c r="E343" t="s" s="27">
        <v>1016</v>
      </c>
      <c r="F343" t="s" s="27">
        <v>836</v>
      </c>
      <c r="G343" s="33"/>
      <c r="H343" s="34"/>
      <c r="I343" s="31"/>
      <c r="J343" s="32"/>
    </row>
    <row r="344" ht="24" customHeight="1">
      <c r="A344" t="s" s="26">
        <v>1019</v>
      </c>
      <c r="B344" t="s" s="27">
        <v>41</v>
      </c>
      <c r="C344" t="s" s="27">
        <v>42</v>
      </c>
      <c r="D344" t="s" s="27">
        <v>1020</v>
      </c>
      <c r="E344" t="s" s="27">
        <v>254</v>
      </c>
      <c r="F344" t="s" s="27">
        <v>836</v>
      </c>
      <c r="G344" s="33"/>
      <c r="H344" s="34"/>
      <c r="I344" s="31"/>
      <c r="J344" s="32"/>
    </row>
    <row r="345" ht="16" customHeight="1">
      <c r="A345" t="s" s="26">
        <v>1021</v>
      </c>
      <c r="B345" t="s" s="27">
        <v>41</v>
      </c>
      <c r="C345" t="s" s="27">
        <v>42</v>
      </c>
      <c r="D345" t="s" s="27">
        <v>1022</v>
      </c>
      <c r="E345" t="s" s="27">
        <v>257</v>
      </c>
      <c r="F345" t="s" s="27">
        <v>836</v>
      </c>
      <c r="G345" s="33"/>
      <c r="H345" s="34"/>
      <c r="I345" s="31"/>
      <c r="J345" s="32"/>
    </row>
    <row r="346" ht="16" customHeight="1">
      <c r="A346" t="s" s="26">
        <v>1023</v>
      </c>
      <c r="B346" t="s" s="27">
        <v>41</v>
      </c>
      <c r="C346" t="s" s="27">
        <v>423</v>
      </c>
      <c r="D346" t="s" s="27">
        <v>1024</v>
      </c>
      <c r="E346" t="s" s="27">
        <v>260</v>
      </c>
      <c r="F346" t="s" s="27">
        <v>836</v>
      </c>
      <c r="G346" s="33"/>
      <c r="H346" s="34"/>
      <c r="I346" s="31"/>
      <c r="J346" s="32"/>
    </row>
    <row r="347" ht="16" customHeight="1">
      <c r="A347" t="s" s="26">
        <v>1025</v>
      </c>
      <c r="B347" t="s" s="27">
        <v>41</v>
      </c>
      <c r="C347" t="s" s="27">
        <v>42</v>
      </c>
      <c r="D347" t="s" s="27">
        <v>1026</v>
      </c>
      <c r="E347" t="s" s="27">
        <v>263</v>
      </c>
      <c r="F347" t="s" s="27">
        <v>836</v>
      </c>
      <c r="G347" s="33"/>
      <c r="H347" s="34"/>
      <c r="I347" s="31"/>
      <c r="J347" s="32"/>
    </row>
    <row r="348" ht="16" customHeight="1">
      <c r="A348" t="s" s="26">
        <v>1027</v>
      </c>
      <c r="B348" t="s" s="27">
        <v>41</v>
      </c>
      <c r="C348" t="s" s="27">
        <v>42</v>
      </c>
      <c r="D348" t="s" s="27">
        <v>1028</v>
      </c>
      <c r="E348" t="s" s="27">
        <v>266</v>
      </c>
      <c r="F348" t="s" s="27">
        <v>836</v>
      </c>
      <c r="G348" s="33"/>
      <c r="H348" s="34"/>
      <c r="I348" s="31"/>
      <c r="J348" s="32"/>
    </row>
    <row r="349" ht="16" customHeight="1">
      <c r="A349" t="s" s="26">
        <v>1029</v>
      </c>
      <c r="B349" t="s" s="27">
        <v>41</v>
      </c>
      <c r="C349" t="s" s="27">
        <v>423</v>
      </c>
      <c r="D349" t="s" s="27">
        <v>1030</v>
      </c>
      <c r="E349" t="s" s="27">
        <v>269</v>
      </c>
      <c r="F349" t="s" s="27">
        <v>836</v>
      </c>
      <c r="G349" s="33"/>
      <c r="H349" s="34"/>
      <c r="I349" s="31"/>
      <c r="J349" s="32"/>
    </row>
    <row r="350" ht="16" customHeight="1">
      <c r="A350" t="s" s="26">
        <v>1031</v>
      </c>
      <c r="B350" t="s" s="27">
        <v>41</v>
      </c>
      <c r="C350" t="s" s="27">
        <v>42</v>
      </c>
      <c r="D350" t="s" s="27">
        <v>1032</v>
      </c>
      <c r="E350" t="s" s="27">
        <v>269</v>
      </c>
      <c r="F350" t="s" s="27">
        <v>836</v>
      </c>
      <c r="G350" s="33"/>
      <c r="H350" s="34"/>
      <c r="I350" s="31"/>
      <c r="J350" s="32"/>
    </row>
    <row r="351" ht="16" customHeight="1">
      <c r="A351" t="s" s="26">
        <v>1033</v>
      </c>
      <c r="B351" t="s" s="27">
        <v>41</v>
      </c>
      <c r="C351" t="s" s="27">
        <v>42</v>
      </c>
      <c r="D351" t="s" s="27">
        <v>1034</v>
      </c>
      <c r="E351" t="s" s="27">
        <v>272</v>
      </c>
      <c r="F351" t="s" s="27">
        <v>836</v>
      </c>
      <c r="G351" s="33"/>
      <c r="H351" s="34"/>
      <c r="I351" s="31"/>
      <c r="J351" s="32"/>
    </row>
    <row r="352" ht="16" customHeight="1">
      <c r="A352" t="s" s="26">
        <v>1035</v>
      </c>
      <c r="B352" t="s" s="27">
        <v>41</v>
      </c>
      <c r="C352" t="s" s="27">
        <v>423</v>
      </c>
      <c r="D352" t="s" s="27">
        <v>1036</v>
      </c>
      <c r="E352" t="s" s="27">
        <v>275</v>
      </c>
      <c r="F352" t="s" s="27">
        <v>836</v>
      </c>
      <c r="G352" s="33"/>
      <c r="H352" s="34"/>
      <c r="I352" s="31"/>
      <c r="J352" s="32"/>
    </row>
    <row r="353" ht="16" customHeight="1">
      <c r="A353" t="s" s="26">
        <v>1037</v>
      </c>
      <c r="B353" t="s" s="27">
        <v>41</v>
      </c>
      <c r="C353" t="s" s="27">
        <v>42</v>
      </c>
      <c r="D353" t="s" s="27">
        <v>1038</v>
      </c>
      <c r="E353" t="s" s="27">
        <v>278</v>
      </c>
      <c r="F353" t="s" s="27">
        <v>836</v>
      </c>
      <c r="G353" s="33"/>
      <c r="H353" s="34"/>
      <c r="I353" s="31"/>
      <c r="J353" s="32"/>
    </row>
    <row r="354" ht="16" customHeight="1">
      <c r="A354" t="s" s="26">
        <v>1039</v>
      </c>
      <c r="B354" t="s" s="27">
        <v>41</v>
      </c>
      <c r="C354" s="35"/>
      <c r="D354" t="s" s="27">
        <v>1040</v>
      </c>
      <c r="E354" t="s" s="27">
        <v>281</v>
      </c>
      <c r="F354" t="s" s="27">
        <v>836</v>
      </c>
      <c r="G354" s="33"/>
      <c r="H354" s="34"/>
      <c r="I354" s="31"/>
      <c r="J354" s="32"/>
    </row>
    <row r="355" ht="16" customHeight="1">
      <c r="A355" t="s" s="26">
        <v>1041</v>
      </c>
      <c r="B355" t="s" s="27">
        <v>41</v>
      </c>
      <c r="C355" t="s" s="27">
        <v>42</v>
      </c>
      <c r="D355" t="s" s="27">
        <v>1042</v>
      </c>
      <c r="E355" t="s" s="27">
        <v>287</v>
      </c>
      <c r="F355" t="s" s="27">
        <v>836</v>
      </c>
      <c r="G355" s="33"/>
      <c r="H355" s="34"/>
      <c r="I355" s="31"/>
      <c r="J355" s="32"/>
    </row>
    <row r="356" ht="16" customHeight="1">
      <c r="A356" t="s" s="26">
        <v>1043</v>
      </c>
      <c r="B356" t="s" s="27">
        <v>41</v>
      </c>
      <c r="C356" t="s" s="27">
        <v>42</v>
      </c>
      <c r="D356" t="s" s="27">
        <v>1044</v>
      </c>
      <c r="E356" t="s" s="27">
        <v>287</v>
      </c>
      <c r="F356" t="s" s="27">
        <v>836</v>
      </c>
      <c r="G356" s="33"/>
      <c r="H356" s="34"/>
      <c r="I356" s="31"/>
      <c r="J356" s="32"/>
    </row>
    <row r="357" ht="16" customHeight="1">
      <c r="A357" t="s" s="26">
        <v>1045</v>
      </c>
      <c r="B357" t="s" s="27">
        <v>41</v>
      </c>
      <c r="C357" t="s" s="27">
        <v>42</v>
      </c>
      <c r="D357" t="s" s="27">
        <v>1046</v>
      </c>
      <c r="E357" t="s" s="27">
        <v>290</v>
      </c>
      <c r="F357" t="s" s="27">
        <v>836</v>
      </c>
      <c r="G357" s="33"/>
      <c r="H357" s="34"/>
      <c r="I357" s="31"/>
      <c r="J357" s="32"/>
    </row>
    <row r="358" ht="16" customHeight="1">
      <c r="A358" t="s" s="26">
        <v>1047</v>
      </c>
      <c r="B358" t="s" s="27">
        <v>41</v>
      </c>
      <c r="C358" t="s" s="27">
        <v>838</v>
      </c>
      <c r="D358" t="s" s="27">
        <v>1048</v>
      </c>
      <c r="E358" t="s" s="27">
        <v>297</v>
      </c>
      <c r="F358" t="s" s="27">
        <v>836</v>
      </c>
      <c r="G358" s="33"/>
      <c r="H358" s="34"/>
      <c r="I358" s="31"/>
      <c r="J358" s="32"/>
    </row>
    <row r="359" ht="16" customHeight="1">
      <c r="A359" t="s" s="26">
        <v>1049</v>
      </c>
      <c r="B359" t="s" s="27">
        <v>41</v>
      </c>
      <c r="C359" t="s" s="27">
        <v>42</v>
      </c>
      <c r="D359" t="s" s="27">
        <v>1050</v>
      </c>
      <c r="E359" t="s" s="27">
        <v>300</v>
      </c>
      <c r="F359" t="s" s="27">
        <v>836</v>
      </c>
      <c r="G359" s="33"/>
      <c r="H359" s="34"/>
      <c r="I359" s="31"/>
      <c r="J359" s="32"/>
    </row>
    <row r="360" ht="16" customHeight="1">
      <c r="A360" t="s" s="26">
        <v>1051</v>
      </c>
      <c r="B360" t="s" s="27">
        <v>41</v>
      </c>
      <c r="C360" t="s" s="27">
        <v>838</v>
      </c>
      <c r="D360" t="s" s="27">
        <v>1052</v>
      </c>
      <c r="E360" t="s" s="27">
        <v>303</v>
      </c>
      <c r="F360" t="s" s="27">
        <v>836</v>
      </c>
      <c r="G360" s="33"/>
      <c r="H360" s="34"/>
      <c r="I360" s="31"/>
      <c r="J360" s="32"/>
    </row>
    <row r="361" ht="16" customHeight="1">
      <c r="A361" t="s" s="26">
        <v>1053</v>
      </c>
      <c r="B361" t="s" s="27">
        <v>41</v>
      </c>
      <c r="C361" t="s" s="27">
        <v>42</v>
      </c>
      <c r="D361" t="s" s="27">
        <v>1054</v>
      </c>
      <c r="E361" t="s" s="27">
        <v>306</v>
      </c>
      <c r="F361" t="s" s="27">
        <v>836</v>
      </c>
      <c r="G361" s="33"/>
      <c r="H361" s="34"/>
      <c r="I361" s="31"/>
      <c r="J361" s="32"/>
    </row>
    <row r="362" ht="16" customHeight="1">
      <c r="A362" t="s" s="26">
        <v>1055</v>
      </c>
      <c r="B362" t="s" s="27">
        <v>41</v>
      </c>
      <c r="C362" t="s" s="27">
        <v>42</v>
      </c>
      <c r="D362" t="s" s="27">
        <v>1056</v>
      </c>
      <c r="E362" t="s" s="27">
        <v>306</v>
      </c>
      <c r="F362" t="s" s="27">
        <v>836</v>
      </c>
      <c r="G362" s="33"/>
      <c r="H362" s="34"/>
      <c r="I362" s="31"/>
      <c r="J362" s="32"/>
    </row>
    <row r="363" ht="16" customHeight="1">
      <c r="A363" t="s" s="26">
        <v>1057</v>
      </c>
      <c r="B363" t="s" s="27">
        <v>41</v>
      </c>
      <c r="C363" t="s" s="27">
        <v>42</v>
      </c>
      <c r="D363" t="s" s="27">
        <v>1058</v>
      </c>
      <c r="E363" t="s" s="27">
        <v>309</v>
      </c>
      <c r="F363" t="s" s="27">
        <v>836</v>
      </c>
      <c r="G363" s="33"/>
      <c r="H363" s="34"/>
      <c r="I363" s="31"/>
      <c r="J363" s="32"/>
    </row>
    <row r="364" ht="16" customHeight="1">
      <c r="A364" t="s" s="26">
        <v>1059</v>
      </c>
      <c r="B364" t="s" s="27">
        <v>41</v>
      </c>
      <c r="C364" t="s" s="27">
        <v>42</v>
      </c>
      <c r="D364" t="s" s="27">
        <v>1060</v>
      </c>
      <c r="E364" t="s" s="27">
        <v>312</v>
      </c>
      <c r="F364" t="s" s="27">
        <v>836</v>
      </c>
      <c r="G364" s="33"/>
      <c r="H364" s="34"/>
      <c r="I364" s="31"/>
      <c r="J364" s="32"/>
    </row>
    <row r="365" ht="16" customHeight="1">
      <c r="A365" t="s" s="26">
        <v>1061</v>
      </c>
      <c r="B365" t="s" s="27">
        <v>41</v>
      </c>
      <c r="C365" t="s" s="27">
        <v>42</v>
      </c>
      <c r="D365" t="s" s="27">
        <v>1062</v>
      </c>
      <c r="E365" t="s" s="27">
        <v>315</v>
      </c>
      <c r="F365" t="s" s="27">
        <v>836</v>
      </c>
      <c r="G365" s="33"/>
      <c r="H365" s="34"/>
      <c r="I365" s="31"/>
      <c r="J365" s="32"/>
    </row>
    <row r="366" ht="16" customHeight="1">
      <c r="A366" t="s" s="26">
        <v>1063</v>
      </c>
      <c r="B366" t="s" s="27">
        <v>41</v>
      </c>
      <c r="C366" s="35"/>
      <c r="D366" t="s" s="27">
        <v>1064</v>
      </c>
      <c r="E366" t="s" s="27">
        <v>318</v>
      </c>
      <c r="F366" t="s" s="27">
        <v>836</v>
      </c>
      <c r="G366" s="33"/>
      <c r="H366" s="34"/>
      <c r="I366" s="31"/>
      <c r="J366" s="32"/>
    </row>
    <row r="367" ht="16" customHeight="1">
      <c r="A367" t="s" s="26">
        <v>1065</v>
      </c>
      <c r="B367" t="s" s="27">
        <v>41</v>
      </c>
      <c r="C367" t="s" s="27">
        <v>42</v>
      </c>
      <c r="D367" t="s" s="27">
        <v>1066</v>
      </c>
      <c r="E367" t="s" s="27">
        <v>321</v>
      </c>
      <c r="F367" t="s" s="27">
        <v>836</v>
      </c>
      <c r="G367" s="33">
        <v>3</v>
      </c>
      <c r="H367" t="s" s="29">
        <v>403</v>
      </c>
      <c r="I367" s="31"/>
      <c r="J367" s="32"/>
    </row>
    <row r="368" ht="16" customHeight="1">
      <c r="A368" t="s" s="26">
        <v>1067</v>
      </c>
      <c r="B368" t="s" s="27">
        <v>41</v>
      </c>
      <c r="C368" t="s" s="27">
        <v>423</v>
      </c>
      <c r="D368" t="s" s="27">
        <v>1068</v>
      </c>
      <c r="E368" t="s" s="27">
        <v>324</v>
      </c>
      <c r="F368" t="s" s="27">
        <v>836</v>
      </c>
      <c r="G368" s="33"/>
      <c r="H368" s="34"/>
      <c r="I368" s="31"/>
      <c r="J368" s="32"/>
    </row>
    <row r="369" ht="16" customHeight="1">
      <c r="A369" t="s" s="26">
        <v>1069</v>
      </c>
      <c r="B369" t="s" s="27">
        <v>41</v>
      </c>
      <c r="C369" t="s" s="27">
        <v>42</v>
      </c>
      <c r="D369" t="s" s="27">
        <v>1070</v>
      </c>
      <c r="E369" t="s" s="27">
        <v>324</v>
      </c>
      <c r="F369" t="s" s="27">
        <v>836</v>
      </c>
      <c r="G369" s="33"/>
      <c r="H369" s="34"/>
      <c r="I369" s="31"/>
      <c r="J369" s="32"/>
    </row>
    <row r="370" ht="16" customHeight="1">
      <c r="A370" t="s" s="26">
        <v>1071</v>
      </c>
      <c r="B370" t="s" s="27">
        <v>41</v>
      </c>
      <c r="C370" t="s" s="27">
        <v>838</v>
      </c>
      <c r="D370" t="s" s="27">
        <v>1072</v>
      </c>
      <c r="E370" t="s" s="27">
        <v>327</v>
      </c>
      <c r="F370" t="s" s="27">
        <v>836</v>
      </c>
      <c r="G370" s="33"/>
      <c r="H370" s="34"/>
      <c r="I370" s="31"/>
      <c r="J370" s="32"/>
    </row>
    <row r="371" ht="24" customHeight="1">
      <c r="A371" t="s" s="26">
        <v>1073</v>
      </c>
      <c r="B371" t="s" s="27">
        <v>41</v>
      </c>
      <c r="C371" t="s" s="27">
        <v>57</v>
      </c>
      <c r="D371" t="s" s="27">
        <v>1074</v>
      </c>
      <c r="E371" t="s" s="27">
        <v>330</v>
      </c>
      <c r="F371" t="s" s="27">
        <v>836</v>
      </c>
      <c r="G371" s="33"/>
      <c r="H371" s="34"/>
      <c r="I371" s="31"/>
      <c r="J371" s="32"/>
    </row>
    <row r="372" ht="16" customHeight="1">
      <c r="A372" t="s" s="26">
        <v>1075</v>
      </c>
      <c r="B372" t="s" s="27">
        <v>41</v>
      </c>
      <c r="C372" t="s" s="27">
        <v>423</v>
      </c>
      <c r="D372" t="s" s="27">
        <v>1076</v>
      </c>
      <c r="E372" t="s" s="27">
        <v>336</v>
      </c>
      <c r="F372" t="s" s="27">
        <v>836</v>
      </c>
      <c r="G372" s="33"/>
      <c r="H372" s="34"/>
      <c r="I372" s="31"/>
      <c r="J372" s="32"/>
    </row>
    <row r="373" ht="16" customHeight="1">
      <c r="A373" t="s" s="26">
        <v>1077</v>
      </c>
      <c r="B373" t="s" s="27">
        <v>41</v>
      </c>
      <c r="C373" t="s" s="27">
        <v>423</v>
      </c>
      <c r="D373" t="s" s="27">
        <v>1078</v>
      </c>
      <c r="E373" t="s" s="27">
        <v>339</v>
      </c>
      <c r="F373" t="s" s="27">
        <v>836</v>
      </c>
      <c r="G373" s="33"/>
      <c r="H373" s="34"/>
      <c r="I373" s="31"/>
      <c r="J373" s="32"/>
    </row>
    <row r="374" ht="16" customHeight="1">
      <c r="A374" t="s" s="26">
        <v>1079</v>
      </c>
      <c r="B374" t="s" s="27">
        <v>41</v>
      </c>
      <c r="C374" t="s" s="27">
        <v>423</v>
      </c>
      <c r="D374" t="s" s="27">
        <v>1080</v>
      </c>
      <c r="E374" t="s" s="27">
        <v>342</v>
      </c>
      <c r="F374" t="s" s="27">
        <v>836</v>
      </c>
      <c r="G374" s="33" cm="1">
        <f t="array" ref="G374">RAND()*6</f>
        <v>3.12532868867513</v>
      </c>
      <c r="H374" s="34"/>
      <c r="I374" s="31"/>
      <c r="J374" s="32"/>
    </row>
    <row r="375" ht="24" customHeight="1">
      <c r="A375" t="s" s="26">
        <v>1081</v>
      </c>
      <c r="B375" t="s" s="27">
        <v>41</v>
      </c>
      <c r="C375" t="s" s="27">
        <v>423</v>
      </c>
      <c r="D375" t="s" s="27">
        <v>1082</v>
      </c>
      <c r="E375" t="s" s="27">
        <v>342</v>
      </c>
      <c r="F375" t="s" s="27">
        <v>836</v>
      </c>
      <c r="G375" s="33" cm="1">
        <f t="array" ref="G375">RAND()*6</f>
        <v>0.594590965075004</v>
      </c>
      <c r="H375" s="34"/>
      <c r="I375" s="31"/>
      <c r="J375" s="32"/>
    </row>
    <row r="376" ht="24" customHeight="1">
      <c r="A376" t="s" s="26">
        <v>1083</v>
      </c>
      <c r="B376" t="s" s="27">
        <v>41</v>
      </c>
      <c r="C376" t="s" s="27">
        <v>42</v>
      </c>
      <c r="D376" t="s" s="27">
        <v>1084</v>
      </c>
      <c r="E376" t="s" s="27">
        <v>345</v>
      </c>
      <c r="F376" t="s" s="27">
        <v>836</v>
      </c>
      <c r="G376" s="33" cm="1">
        <f t="array" ref="G376">RAND()*6</f>
        <v>0.567708163755914</v>
      </c>
      <c r="H376" s="34"/>
      <c r="I376" s="31"/>
      <c r="J376" s="32"/>
    </row>
    <row r="377" ht="16" customHeight="1">
      <c r="A377" t="s" s="26">
        <v>1085</v>
      </c>
      <c r="B377" t="s" s="27">
        <v>41</v>
      </c>
      <c r="C377" t="s" s="27">
        <v>838</v>
      </c>
      <c r="D377" t="s" s="27">
        <v>1086</v>
      </c>
      <c r="E377" t="s" s="27">
        <v>348</v>
      </c>
      <c r="F377" t="s" s="27">
        <v>836</v>
      </c>
      <c r="G377" s="33" cm="1">
        <f t="array" ref="G377">RAND()*6</f>
        <v>2.33480753185694</v>
      </c>
      <c r="H377" s="34"/>
      <c r="I377" s="31"/>
      <c r="J377" s="32"/>
    </row>
    <row r="378" ht="16" customHeight="1">
      <c r="A378" t="s" s="26">
        <v>1087</v>
      </c>
      <c r="B378" t="s" s="27">
        <v>41</v>
      </c>
      <c r="C378" t="s" s="27">
        <v>42</v>
      </c>
      <c r="D378" t="s" s="27">
        <v>1088</v>
      </c>
      <c r="E378" t="s" s="27">
        <v>351</v>
      </c>
      <c r="F378" t="s" s="27">
        <v>836</v>
      </c>
      <c r="G378" s="33" cm="1">
        <f t="array" ref="G378">RAND()*6</f>
        <v>1.34832423497228</v>
      </c>
      <c r="H378" s="34"/>
      <c r="I378" s="31"/>
      <c r="J378" s="32"/>
    </row>
    <row r="379" ht="24" customHeight="1">
      <c r="A379" t="s" s="26">
        <v>1089</v>
      </c>
      <c r="B379" t="s" s="27">
        <v>41</v>
      </c>
      <c r="C379" t="s" s="27">
        <v>423</v>
      </c>
      <c r="D379" t="s" s="27">
        <v>1090</v>
      </c>
      <c r="E379" t="s" s="27">
        <v>354</v>
      </c>
      <c r="F379" t="s" s="27">
        <v>836</v>
      </c>
      <c r="G379" s="33" cm="1">
        <f t="array" ref="G379">RAND()*6</f>
        <v>4.57271328759352</v>
      </c>
      <c r="H379" s="34"/>
      <c r="I379" s="31"/>
      <c r="J379" s="32"/>
    </row>
    <row r="380" ht="16" customHeight="1">
      <c r="A380" t="s" s="26">
        <v>1091</v>
      </c>
      <c r="B380" t="s" s="27">
        <v>41</v>
      </c>
      <c r="C380" t="s" s="27">
        <v>423</v>
      </c>
      <c r="D380" t="s" s="27">
        <v>1092</v>
      </c>
      <c r="E380" t="s" s="27">
        <v>357</v>
      </c>
      <c r="F380" t="s" s="27">
        <v>836</v>
      </c>
      <c r="G380" s="33" cm="1">
        <f t="array" ref="G380">RAND()*6</f>
        <v>4.09091039005752</v>
      </c>
      <c r="H380" s="34"/>
      <c r="I380" s="31"/>
      <c r="J380" s="32"/>
    </row>
    <row r="381" ht="16" customHeight="1">
      <c r="A381" t="s" s="26">
        <v>1093</v>
      </c>
      <c r="B381" t="s" s="27">
        <v>41</v>
      </c>
      <c r="C381" t="s" s="27">
        <v>423</v>
      </c>
      <c r="D381" t="s" s="27">
        <v>1094</v>
      </c>
      <c r="E381" t="s" s="27">
        <v>360</v>
      </c>
      <c r="F381" t="s" s="27">
        <v>836</v>
      </c>
      <c r="G381" s="33" cm="1">
        <f t="array" ref="G381">RAND()*6</f>
        <v>5.12507992535761</v>
      </c>
      <c r="H381" s="34"/>
      <c r="I381" s="31"/>
      <c r="J381" s="32"/>
    </row>
    <row r="382" ht="16" customHeight="1">
      <c r="A382" t="s" s="26">
        <v>1095</v>
      </c>
      <c r="B382" t="s" s="27">
        <v>41</v>
      </c>
      <c r="C382" t="s" s="27">
        <v>838</v>
      </c>
      <c r="D382" t="s" s="27">
        <v>1096</v>
      </c>
      <c r="E382" t="s" s="27">
        <v>360</v>
      </c>
      <c r="F382" t="s" s="27">
        <v>836</v>
      </c>
      <c r="G382" s="33" cm="1">
        <f t="array" ref="G382">RAND()*6</f>
        <v>3.96130497149045</v>
      </c>
      <c r="H382" s="34"/>
      <c r="I382" s="31"/>
      <c r="J382" s="32"/>
    </row>
    <row r="383" ht="16" customHeight="1">
      <c r="A383" t="s" s="26">
        <v>1097</v>
      </c>
      <c r="B383" t="s" s="27">
        <v>41</v>
      </c>
      <c r="C383" t="s" s="27">
        <v>423</v>
      </c>
      <c r="D383" t="s" s="27">
        <v>1098</v>
      </c>
      <c r="E383" t="s" s="27">
        <v>362</v>
      </c>
      <c r="F383" t="s" s="27">
        <v>836</v>
      </c>
      <c r="G383" s="33" cm="1">
        <f t="array" ref="G383">RAND()*6</f>
        <v>4.33646683466052</v>
      </c>
      <c r="H383" s="34"/>
      <c r="I383" s="31"/>
      <c r="J383" s="32"/>
    </row>
    <row r="384" ht="16" customHeight="1">
      <c r="A384" t="s" s="26">
        <v>1099</v>
      </c>
      <c r="B384" t="s" s="27">
        <v>41</v>
      </c>
      <c r="C384" t="s" s="27">
        <v>42</v>
      </c>
      <c r="D384" t="s" s="27">
        <v>1100</v>
      </c>
      <c r="E384" t="s" s="27">
        <v>365</v>
      </c>
      <c r="F384" t="s" s="27">
        <v>836</v>
      </c>
      <c r="G384" s="33" cm="1">
        <f t="array" ref="G384">RAND()*6</f>
        <v>4.44699532175385</v>
      </c>
      <c r="H384" s="34"/>
      <c r="I384" s="31"/>
      <c r="J384" s="32"/>
    </row>
    <row r="385" ht="16" customHeight="1">
      <c r="A385" t="s" s="26">
        <v>1101</v>
      </c>
      <c r="B385" t="s" s="27">
        <v>41</v>
      </c>
      <c r="C385" t="s" s="27">
        <v>42</v>
      </c>
      <c r="D385" t="s" s="27">
        <v>1102</v>
      </c>
      <c r="E385" t="s" s="27">
        <v>368</v>
      </c>
      <c r="F385" t="s" s="27">
        <v>836</v>
      </c>
      <c r="G385" s="33" cm="1">
        <f t="array" ref="G385">RAND()*6</f>
        <v>0.477151933675438</v>
      </c>
      <c r="H385" s="34"/>
      <c r="I385" s="31"/>
      <c r="J385" s="32"/>
    </row>
    <row r="386" ht="16" customHeight="1">
      <c r="A386" t="s" s="26">
        <v>1103</v>
      </c>
      <c r="B386" t="s" s="27">
        <v>41</v>
      </c>
      <c r="C386" t="s" s="27">
        <v>42</v>
      </c>
      <c r="D386" t="s" s="27">
        <v>1104</v>
      </c>
      <c r="E386" t="s" s="27">
        <v>371</v>
      </c>
      <c r="F386" t="s" s="27">
        <v>836</v>
      </c>
      <c r="G386" s="33" cm="1">
        <f t="array" ref="G386">RAND()*6</f>
        <v>1.06196693802366</v>
      </c>
      <c r="H386" s="34"/>
      <c r="I386" s="31"/>
      <c r="J386" s="32"/>
    </row>
    <row r="387" ht="16" customHeight="1">
      <c r="A387" t="s" s="26">
        <v>1105</v>
      </c>
      <c r="B387" t="s" s="27">
        <v>41</v>
      </c>
      <c r="C387" t="s" s="27">
        <v>42</v>
      </c>
      <c r="D387" t="s" s="27">
        <v>1106</v>
      </c>
      <c r="E387" t="s" s="27">
        <v>374</v>
      </c>
      <c r="F387" t="s" s="27">
        <v>836</v>
      </c>
      <c r="G387" s="33" cm="1">
        <f t="array" ref="G387">RAND()*6</f>
        <v>4.25499888448308</v>
      </c>
      <c r="H387" s="34"/>
      <c r="I387" s="31"/>
      <c r="J387" s="32"/>
    </row>
    <row r="388" ht="16" customHeight="1">
      <c r="A388" t="s" s="26">
        <v>1107</v>
      </c>
      <c r="B388" t="s" s="27">
        <v>41</v>
      </c>
      <c r="C388" t="s" s="27">
        <v>42</v>
      </c>
      <c r="D388" t="s" s="27">
        <v>1108</v>
      </c>
      <c r="E388" t="s" s="27">
        <v>377</v>
      </c>
      <c r="F388" t="s" s="27">
        <v>836</v>
      </c>
      <c r="G388" s="33" cm="1">
        <f t="array" ref="G388">RAND()*6</f>
        <v>1.91933865335053</v>
      </c>
      <c r="H388" s="34"/>
      <c r="I388" s="31"/>
      <c r="J388" s="32"/>
    </row>
    <row r="389" ht="16" customHeight="1">
      <c r="A389" t="s" s="26">
        <v>1109</v>
      </c>
      <c r="B389" t="s" s="27">
        <v>41</v>
      </c>
      <c r="C389" t="s" s="27">
        <v>42</v>
      </c>
      <c r="D389" t="s" s="27">
        <v>1110</v>
      </c>
      <c r="E389" t="s" s="27">
        <v>377</v>
      </c>
      <c r="F389" t="s" s="27">
        <v>836</v>
      </c>
      <c r="G389" s="33" cm="1">
        <f t="array" ref="G389">RAND()*6</f>
        <v>0.772725255970781</v>
      </c>
      <c r="H389" s="34"/>
      <c r="I389" s="31"/>
      <c r="J389" s="32"/>
    </row>
    <row r="390" ht="24" customHeight="1">
      <c r="A390" t="s" s="26">
        <v>1111</v>
      </c>
      <c r="B390" t="s" s="27">
        <v>41</v>
      </c>
      <c r="C390" t="s" s="27">
        <v>838</v>
      </c>
      <c r="D390" t="s" s="27">
        <v>1112</v>
      </c>
      <c r="E390" t="s" s="27">
        <v>380</v>
      </c>
      <c r="F390" t="s" s="27">
        <v>836</v>
      </c>
      <c r="G390" s="33" cm="1">
        <f t="array" ref="G390">RAND()*6</f>
        <v>3.50889171191384</v>
      </c>
      <c r="H390" s="34"/>
      <c r="I390" s="31"/>
      <c r="J390" s="32"/>
    </row>
    <row r="391" ht="16" customHeight="1">
      <c r="A391" t="s" s="26">
        <v>1113</v>
      </c>
      <c r="B391" t="s" s="27">
        <v>41</v>
      </c>
      <c r="C391" t="s" s="27">
        <v>423</v>
      </c>
      <c r="D391" t="s" s="27">
        <v>1114</v>
      </c>
      <c r="E391" t="s" s="27">
        <v>383</v>
      </c>
      <c r="F391" t="s" s="27">
        <v>836</v>
      </c>
      <c r="G391" s="33" cm="1">
        <f t="array" ref="G391">RAND()*6</f>
        <v>2.45785351299998</v>
      </c>
      <c r="H391" s="34"/>
      <c r="I391" s="31"/>
      <c r="J391" s="32"/>
    </row>
    <row r="392" ht="16" customHeight="1">
      <c r="A392" t="s" s="26">
        <v>1115</v>
      </c>
      <c r="B392" t="s" s="27">
        <v>41</v>
      </c>
      <c r="C392" t="s" s="27">
        <v>42</v>
      </c>
      <c r="D392" t="s" s="27">
        <v>1116</v>
      </c>
      <c r="E392" t="s" s="27">
        <v>386</v>
      </c>
      <c r="F392" t="s" s="27">
        <v>836</v>
      </c>
      <c r="G392" s="33" cm="1">
        <f t="array" ref="G392">RAND()*6</f>
        <v>2.92710765405389</v>
      </c>
      <c r="H392" s="34"/>
      <c r="I392" s="31"/>
      <c r="J392" s="32"/>
    </row>
    <row r="393" ht="16" customHeight="1">
      <c r="A393" t="s" s="26">
        <v>1117</v>
      </c>
      <c r="B393" t="s" s="27">
        <v>41</v>
      </c>
      <c r="C393" t="s" s="27">
        <v>42</v>
      </c>
      <c r="D393" t="s" s="27">
        <v>1118</v>
      </c>
      <c r="E393" t="s" s="27">
        <v>389</v>
      </c>
      <c r="F393" t="s" s="27">
        <v>836</v>
      </c>
      <c r="G393" s="33"/>
      <c r="H393" s="34"/>
      <c r="I393" s="31"/>
      <c r="J393" s="32"/>
    </row>
    <row r="394" ht="16" customHeight="1">
      <c r="A394" t="s" s="26">
        <v>1119</v>
      </c>
      <c r="B394" t="s" s="27">
        <v>41</v>
      </c>
      <c r="C394" t="s" s="27">
        <v>42</v>
      </c>
      <c r="D394" t="s" s="27">
        <v>1120</v>
      </c>
      <c r="E394" t="s" s="27">
        <v>392</v>
      </c>
      <c r="F394" t="s" s="27">
        <v>836</v>
      </c>
      <c r="G394" s="33"/>
      <c r="H394" s="34"/>
      <c r="I394" s="31"/>
      <c r="J394" s="32"/>
    </row>
    <row r="395" ht="16" customHeight="1">
      <c r="A395" t="s" s="26">
        <v>1121</v>
      </c>
      <c r="B395" t="s" s="27">
        <v>41</v>
      </c>
      <c r="C395" s="35"/>
      <c r="D395" t="s" s="27">
        <v>1122</v>
      </c>
      <c r="E395" t="s" s="27">
        <v>396</v>
      </c>
      <c r="F395" t="s" s="27">
        <v>836</v>
      </c>
      <c r="G395" s="33"/>
      <c r="H395" s="34"/>
      <c r="I395" s="31"/>
      <c r="J395" s="32"/>
    </row>
    <row r="396" ht="16" customHeight="1">
      <c r="A396" t="s" s="26">
        <v>1123</v>
      </c>
      <c r="B396" t="s" s="27">
        <v>41</v>
      </c>
      <c r="C396" t="s" s="27">
        <v>42</v>
      </c>
      <c r="D396" t="s" s="27">
        <v>1124</v>
      </c>
      <c r="E396" t="s" s="27">
        <v>399</v>
      </c>
      <c r="F396" t="s" s="27">
        <v>836</v>
      </c>
      <c r="G396" s="33"/>
      <c r="H396" s="34"/>
      <c r="I396" s="31"/>
      <c r="J396" s="32"/>
    </row>
    <row r="397" ht="16" customHeight="1">
      <c r="A397" t="s" s="26">
        <v>1125</v>
      </c>
      <c r="B397" t="s" s="27">
        <v>41</v>
      </c>
      <c r="C397" t="s" s="27">
        <v>42</v>
      </c>
      <c r="D397" t="s" s="27">
        <v>1126</v>
      </c>
      <c r="E397" t="s" s="27">
        <v>402</v>
      </c>
      <c r="F397" t="s" s="27">
        <v>836</v>
      </c>
      <c r="G397" s="33"/>
      <c r="H397" s="34"/>
      <c r="I397" s="31"/>
      <c r="J397" s="32"/>
    </row>
    <row r="398" ht="16" customHeight="1">
      <c r="A398" t="s" s="26">
        <v>1127</v>
      </c>
      <c r="B398" t="s" s="27">
        <v>41</v>
      </c>
      <c r="C398" t="s" s="27">
        <v>42</v>
      </c>
      <c r="D398" t="s" s="27">
        <v>1128</v>
      </c>
      <c r="E398" t="s" s="27">
        <v>406</v>
      </c>
      <c r="F398" t="s" s="27">
        <v>836</v>
      </c>
      <c r="G398" s="33"/>
      <c r="H398" s="34"/>
      <c r="I398" s="31"/>
      <c r="J398" s="32"/>
    </row>
    <row r="399" ht="16" customHeight="1">
      <c r="A399" t="s" s="26">
        <v>1129</v>
      </c>
      <c r="B399" t="s" s="27">
        <v>41</v>
      </c>
      <c r="C399" t="s" s="27">
        <v>838</v>
      </c>
      <c r="D399" t="s" s="27">
        <v>1130</v>
      </c>
      <c r="E399" t="s" s="27">
        <v>409</v>
      </c>
      <c r="F399" t="s" s="27">
        <v>836</v>
      </c>
      <c r="G399" s="33"/>
      <c r="H399" s="34"/>
      <c r="I399" s="31"/>
      <c r="J399" s="32"/>
    </row>
    <row r="400" ht="16" customHeight="1">
      <c r="A400" t="s" s="26">
        <v>1131</v>
      </c>
      <c r="B400" t="s" s="27">
        <v>41</v>
      </c>
      <c r="C400" t="s" s="27">
        <v>449</v>
      </c>
      <c r="D400" t="s" s="27">
        <v>1132</v>
      </c>
      <c r="E400" t="s" s="27">
        <v>412</v>
      </c>
      <c r="F400" t="s" s="27">
        <v>836</v>
      </c>
      <c r="G400" s="33"/>
      <c r="H400" s="34"/>
      <c r="I400" s="31"/>
      <c r="J400" s="32"/>
    </row>
    <row r="401" ht="16" customHeight="1">
      <c r="A401" t="s" s="26">
        <v>1133</v>
      </c>
      <c r="B401" t="s" s="27">
        <v>41</v>
      </c>
      <c r="C401" t="s" s="27">
        <v>42</v>
      </c>
      <c r="D401" t="s" s="27">
        <v>1134</v>
      </c>
      <c r="E401" t="s" s="27">
        <v>415</v>
      </c>
      <c r="F401" t="s" s="27">
        <v>836</v>
      </c>
      <c r="G401" s="33"/>
      <c r="H401" s="34"/>
      <c r="I401" s="31"/>
      <c r="J401" s="32"/>
    </row>
    <row r="402" ht="16" customHeight="1">
      <c r="A402" t="s" s="26">
        <v>1135</v>
      </c>
      <c r="B402" t="s" s="27">
        <v>41</v>
      </c>
      <c r="C402" t="s" s="27">
        <v>838</v>
      </c>
      <c r="D402" t="s" s="27">
        <v>1136</v>
      </c>
      <c r="E402" t="s" s="27">
        <v>415</v>
      </c>
      <c r="F402" t="s" s="27">
        <v>836</v>
      </c>
      <c r="G402" s="33"/>
      <c r="H402" s="34"/>
      <c r="I402" s="31"/>
      <c r="J402" s="32"/>
    </row>
    <row r="403" ht="16" customHeight="1">
      <c r="A403" t="s" s="26">
        <v>1137</v>
      </c>
      <c r="B403" t="s" s="27">
        <v>41</v>
      </c>
      <c r="C403" t="s" s="27">
        <v>42</v>
      </c>
      <c r="D403" t="s" s="27">
        <v>1138</v>
      </c>
      <c r="E403" t="s" s="27">
        <v>418</v>
      </c>
      <c r="F403" t="s" s="27">
        <v>836</v>
      </c>
      <c r="G403" s="33"/>
      <c r="H403" s="34"/>
      <c r="I403" s="31"/>
      <c r="J403" s="32"/>
    </row>
    <row r="404" ht="16" customHeight="1">
      <c r="A404" t="s" s="26">
        <v>1139</v>
      </c>
      <c r="B404" t="s" s="27">
        <v>41</v>
      </c>
      <c r="C404" t="s" s="27">
        <v>423</v>
      </c>
      <c r="D404" t="s" s="27">
        <v>1140</v>
      </c>
      <c r="E404" t="s" s="27">
        <v>1141</v>
      </c>
      <c r="F404" t="s" s="27">
        <v>836</v>
      </c>
      <c r="G404" s="33"/>
      <c r="H404" s="34"/>
      <c r="I404" s="31"/>
      <c r="J404" s="32"/>
    </row>
    <row r="405" ht="16" customHeight="1">
      <c r="A405" t="s" s="26">
        <v>1142</v>
      </c>
      <c r="B405" t="s" s="27">
        <v>41</v>
      </c>
      <c r="C405" t="s" s="27">
        <v>423</v>
      </c>
      <c r="D405" t="s" s="27">
        <v>1143</v>
      </c>
      <c r="E405" t="s" s="27">
        <v>421</v>
      </c>
      <c r="F405" t="s" s="27">
        <v>836</v>
      </c>
      <c r="G405" s="33"/>
      <c r="H405" s="34"/>
      <c r="I405" s="31"/>
      <c r="J405" s="32"/>
    </row>
    <row r="406" ht="16" customHeight="1">
      <c r="A406" t="s" s="26">
        <v>1144</v>
      </c>
      <c r="B406" t="s" s="27">
        <v>41</v>
      </c>
      <c r="C406" t="s" s="27">
        <v>423</v>
      </c>
      <c r="D406" t="s" s="27">
        <v>1145</v>
      </c>
      <c r="E406" t="s" s="27">
        <v>425</v>
      </c>
      <c r="F406" t="s" s="27">
        <v>836</v>
      </c>
      <c r="G406" s="33"/>
      <c r="H406" s="34"/>
      <c r="I406" s="31"/>
      <c r="J406" s="32"/>
    </row>
    <row r="407" ht="16" customHeight="1">
      <c r="A407" t="s" s="26">
        <v>1146</v>
      </c>
      <c r="B407" t="s" s="27">
        <v>41</v>
      </c>
      <c r="C407" t="s" s="27">
        <v>423</v>
      </c>
      <c r="D407" t="s" s="27">
        <v>1147</v>
      </c>
      <c r="E407" t="s" s="27">
        <v>428</v>
      </c>
      <c r="F407" t="s" s="27">
        <v>836</v>
      </c>
      <c r="G407" s="33"/>
      <c r="H407" s="34"/>
      <c r="I407" s="31"/>
      <c r="J407" s="32"/>
    </row>
    <row r="408" ht="16" customHeight="1">
      <c r="A408" t="s" s="26">
        <v>1148</v>
      </c>
      <c r="B408" t="s" s="27">
        <v>41</v>
      </c>
      <c r="C408" t="s" s="27">
        <v>423</v>
      </c>
      <c r="D408" t="s" s="27">
        <v>1149</v>
      </c>
      <c r="E408" t="s" s="27">
        <v>431</v>
      </c>
      <c r="F408" t="s" s="27">
        <v>836</v>
      </c>
      <c r="G408" s="33"/>
      <c r="H408" s="34"/>
      <c r="I408" s="31"/>
      <c r="J408" s="32"/>
    </row>
    <row r="409" ht="16" customHeight="1">
      <c r="A409" t="s" s="26">
        <v>1150</v>
      </c>
      <c r="B409" t="s" s="27">
        <v>41</v>
      </c>
      <c r="C409" t="s" s="27">
        <v>423</v>
      </c>
      <c r="D409" t="s" s="27">
        <v>1151</v>
      </c>
      <c r="E409" t="s" s="27">
        <v>431</v>
      </c>
      <c r="F409" t="s" s="27">
        <v>836</v>
      </c>
      <c r="G409" s="33"/>
      <c r="H409" s="34"/>
      <c r="I409" s="31"/>
      <c r="J409" s="32"/>
    </row>
    <row r="410" ht="16" customHeight="1">
      <c r="A410" t="s" s="26">
        <v>1152</v>
      </c>
      <c r="B410" t="s" s="27">
        <v>41</v>
      </c>
      <c r="C410" t="s" s="27">
        <v>42</v>
      </c>
      <c r="D410" t="s" s="27">
        <v>1153</v>
      </c>
      <c r="E410" t="s" s="27">
        <v>435</v>
      </c>
      <c r="F410" t="s" s="27">
        <v>836</v>
      </c>
      <c r="G410" s="33"/>
      <c r="H410" s="34"/>
      <c r="I410" s="31"/>
      <c r="J410" s="32"/>
    </row>
    <row r="411" ht="16" customHeight="1">
      <c r="A411" t="s" s="26">
        <v>1154</v>
      </c>
      <c r="B411" t="s" s="27">
        <v>41</v>
      </c>
      <c r="C411" t="s" s="27">
        <v>423</v>
      </c>
      <c r="D411" t="s" s="27">
        <v>1155</v>
      </c>
      <c r="E411" t="s" s="27">
        <v>438</v>
      </c>
      <c r="F411" t="s" s="27">
        <v>836</v>
      </c>
      <c r="G411" s="33"/>
      <c r="H411" s="34"/>
      <c r="I411" s="31"/>
      <c r="J411" s="32"/>
    </row>
    <row r="412" ht="16" customHeight="1">
      <c r="A412" t="s" s="26">
        <v>1156</v>
      </c>
      <c r="B412" t="s" s="27">
        <v>41</v>
      </c>
      <c r="C412" t="s" s="27">
        <v>423</v>
      </c>
      <c r="D412" t="s" s="27">
        <v>1157</v>
      </c>
      <c r="E412" t="s" s="27">
        <v>441</v>
      </c>
      <c r="F412" t="s" s="27">
        <v>836</v>
      </c>
      <c r="G412" s="33"/>
      <c r="H412" s="34"/>
      <c r="I412" s="31"/>
      <c r="J412" s="32"/>
    </row>
    <row r="413" ht="16" customHeight="1">
      <c r="A413" t="s" s="26">
        <v>1158</v>
      </c>
      <c r="B413" t="s" s="27">
        <v>41</v>
      </c>
      <c r="C413" t="s" s="27">
        <v>838</v>
      </c>
      <c r="D413" t="s" s="27">
        <v>1159</v>
      </c>
      <c r="E413" t="s" s="27">
        <v>444</v>
      </c>
      <c r="F413" t="s" s="27">
        <v>836</v>
      </c>
      <c r="G413" s="33"/>
      <c r="H413" s="34"/>
      <c r="I413" s="31"/>
      <c r="J413" s="32"/>
    </row>
    <row r="414" ht="16" customHeight="1">
      <c r="A414" t="s" s="26">
        <v>1160</v>
      </c>
      <c r="B414" t="s" s="27">
        <v>41</v>
      </c>
      <c r="C414" t="s" s="27">
        <v>423</v>
      </c>
      <c r="D414" t="s" s="27">
        <v>1161</v>
      </c>
      <c r="E414" t="s" s="27">
        <v>451</v>
      </c>
      <c r="F414" t="s" s="27">
        <v>836</v>
      </c>
      <c r="G414" s="33"/>
      <c r="H414" s="34"/>
      <c r="I414" s="31"/>
      <c r="J414" s="32"/>
    </row>
    <row r="415" ht="16" customHeight="1">
      <c r="A415" t="s" s="26">
        <v>1162</v>
      </c>
      <c r="B415" t="s" s="27">
        <v>41</v>
      </c>
      <c r="C415" t="s" s="27">
        <v>42</v>
      </c>
      <c r="D415" t="s" s="27">
        <v>1163</v>
      </c>
      <c r="E415" t="s" s="27">
        <v>451</v>
      </c>
      <c r="F415" t="s" s="27">
        <v>836</v>
      </c>
      <c r="G415" s="33"/>
      <c r="H415" s="34"/>
      <c r="I415" s="31"/>
      <c r="J415" s="32"/>
    </row>
    <row r="416" ht="16" customHeight="1">
      <c r="A416" t="s" s="26">
        <v>1164</v>
      </c>
      <c r="B416" t="s" s="27">
        <v>41</v>
      </c>
      <c r="C416" t="s" s="27">
        <v>423</v>
      </c>
      <c r="D416" t="s" s="27">
        <v>1165</v>
      </c>
      <c r="E416" t="s" s="27">
        <v>454</v>
      </c>
      <c r="F416" t="s" s="27">
        <v>836</v>
      </c>
      <c r="G416" s="33"/>
      <c r="H416" s="34"/>
      <c r="I416" s="31"/>
      <c r="J416" s="32"/>
    </row>
    <row r="417" ht="16" customHeight="1">
      <c r="A417" t="s" s="26">
        <v>1166</v>
      </c>
      <c r="B417" t="s" s="27">
        <v>41</v>
      </c>
      <c r="C417" t="s" s="27">
        <v>423</v>
      </c>
      <c r="D417" t="s" s="27">
        <v>1167</v>
      </c>
      <c r="E417" t="s" s="27">
        <v>457</v>
      </c>
      <c r="F417" t="s" s="27">
        <v>836</v>
      </c>
      <c r="G417" s="33"/>
      <c r="H417" s="34"/>
      <c r="I417" s="31"/>
      <c r="J417" s="32"/>
    </row>
    <row r="418" ht="24" customHeight="1">
      <c r="A418" t="s" s="26">
        <v>1168</v>
      </c>
      <c r="B418" t="s" s="27">
        <v>41</v>
      </c>
      <c r="C418" t="s" s="27">
        <v>423</v>
      </c>
      <c r="D418" t="s" s="27">
        <v>1169</v>
      </c>
      <c r="E418" t="s" s="27">
        <v>1170</v>
      </c>
      <c r="F418" t="s" s="27">
        <v>836</v>
      </c>
      <c r="G418" s="33"/>
      <c r="H418" s="34"/>
      <c r="I418" s="31"/>
      <c r="J418" s="32"/>
    </row>
    <row r="419" ht="16" customHeight="1">
      <c r="A419" t="s" s="26">
        <v>1171</v>
      </c>
      <c r="B419" t="s" s="27">
        <v>41</v>
      </c>
      <c r="C419" t="s" s="27">
        <v>42</v>
      </c>
      <c r="D419" t="s" s="27">
        <v>1172</v>
      </c>
      <c r="E419" t="s" s="27">
        <v>460</v>
      </c>
      <c r="F419" t="s" s="27">
        <v>836</v>
      </c>
      <c r="G419" s="33"/>
      <c r="H419" s="34"/>
      <c r="I419" s="31"/>
      <c r="J419" s="32"/>
    </row>
    <row r="420" ht="16" customHeight="1">
      <c r="A420" t="s" s="26">
        <v>1173</v>
      </c>
      <c r="B420" t="s" s="27">
        <v>41</v>
      </c>
      <c r="C420" t="s" s="27">
        <v>449</v>
      </c>
      <c r="D420" t="s" s="27">
        <v>1174</v>
      </c>
      <c r="E420" t="s" s="27">
        <v>463</v>
      </c>
      <c r="F420" t="s" s="27">
        <v>836</v>
      </c>
      <c r="G420" s="33"/>
      <c r="H420" s="34"/>
      <c r="I420" s="31"/>
      <c r="J420" s="32"/>
    </row>
    <row r="421" ht="16" customHeight="1">
      <c r="A421" t="s" s="26">
        <v>1175</v>
      </c>
      <c r="B421" t="s" s="27">
        <v>41</v>
      </c>
      <c r="C421" t="s" s="27">
        <v>42</v>
      </c>
      <c r="D421" t="s" s="27">
        <v>1176</v>
      </c>
      <c r="E421" t="s" s="27">
        <v>466</v>
      </c>
      <c r="F421" t="s" s="27">
        <v>836</v>
      </c>
      <c r="G421" s="33"/>
      <c r="H421" s="34"/>
      <c r="I421" s="31"/>
      <c r="J421" s="32"/>
    </row>
    <row r="422" ht="16" customHeight="1">
      <c r="A422" t="s" s="26">
        <v>1177</v>
      </c>
      <c r="B422" t="s" s="27">
        <v>41</v>
      </c>
      <c r="C422" t="s" s="27">
        <v>42</v>
      </c>
      <c r="D422" t="s" s="27">
        <v>1178</v>
      </c>
      <c r="E422" t="s" s="27">
        <v>466</v>
      </c>
      <c r="F422" t="s" s="27">
        <v>836</v>
      </c>
      <c r="G422" s="33"/>
      <c r="H422" s="34"/>
      <c r="I422" s="31"/>
      <c r="J422" s="32"/>
    </row>
    <row r="423" ht="16" customHeight="1">
      <c r="A423" t="s" s="26">
        <v>1179</v>
      </c>
      <c r="B423" t="s" s="27">
        <v>41</v>
      </c>
      <c r="C423" t="s" s="27">
        <v>42</v>
      </c>
      <c r="D423" t="s" s="27">
        <v>1180</v>
      </c>
      <c r="E423" t="s" s="27">
        <v>469</v>
      </c>
      <c r="F423" t="s" s="27">
        <v>836</v>
      </c>
      <c r="G423" s="33"/>
      <c r="H423" s="34"/>
      <c r="I423" s="31"/>
      <c r="J423" s="32"/>
    </row>
    <row r="424" ht="16" customHeight="1">
      <c r="A424" t="s" s="26">
        <v>1181</v>
      </c>
      <c r="B424" t="s" s="27">
        <v>41</v>
      </c>
      <c r="C424" t="s" s="27">
        <v>42</v>
      </c>
      <c r="D424" t="s" s="27">
        <v>1182</v>
      </c>
      <c r="E424" t="s" s="27">
        <v>472</v>
      </c>
      <c r="F424" t="s" s="27">
        <v>836</v>
      </c>
      <c r="G424" s="33"/>
      <c r="H424" s="34"/>
      <c r="I424" s="31"/>
      <c r="J424" s="32"/>
    </row>
    <row r="425" ht="16" customHeight="1">
      <c r="A425" t="s" s="26">
        <v>1183</v>
      </c>
      <c r="B425" t="s" s="27">
        <v>41</v>
      </c>
      <c r="C425" t="s" s="27">
        <v>42</v>
      </c>
      <c r="D425" t="s" s="27">
        <v>1184</v>
      </c>
      <c r="E425" t="s" s="27">
        <v>475</v>
      </c>
      <c r="F425" t="s" s="27">
        <v>836</v>
      </c>
      <c r="G425" s="33"/>
      <c r="H425" s="34"/>
      <c r="I425" s="31"/>
      <c r="J425" s="32"/>
    </row>
    <row r="426" ht="16" customHeight="1">
      <c r="A426" t="s" s="26">
        <v>1185</v>
      </c>
      <c r="B426" t="s" s="27">
        <v>41</v>
      </c>
      <c r="C426" t="s" s="27">
        <v>42</v>
      </c>
      <c r="D426" t="s" s="27">
        <v>1186</v>
      </c>
      <c r="E426" t="s" s="27">
        <v>1187</v>
      </c>
      <c r="F426" t="s" s="27">
        <v>836</v>
      </c>
      <c r="G426" s="33"/>
      <c r="H426" s="34"/>
      <c r="I426" s="31"/>
      <c r="J426" s="32"/>
    </row>
    <row r="427" ht="16" customHeight="1">
      <c r="A427" t="s" s="26">
        <v>1188</v>
      </c>
      <c r="B427" t="s" s="27">
        <v>41</v>
      </c>
      <c r="C427" t="s" s="27">
        <v>42</v>
      </c>
      <c r="D427" t="s" s="27">
        <v>1189</v>
      </c>
      <c r="E427" t="s" s="27">
        <v>478</v>
      </c>
      <c r="F427" t="s" s="27">
        <v>836</v>
      </c>
      <c r="G427" s="33"/>
      <c r="H427" s="34"/>
      <c r="I427" s="31"/>
      <c r="J427" s="32"/>
    </row>
    <row r="428" ht="16" customHeight="1">
      <c r="A428" t="s" s="26">
        <v>1190</v>
      </c>
      <c r="B428" t="s" s="27">
        <v>41</v>
      </c>
      <c r="C428" t="s" s="27">
        <v>42</v>
      </c>
      <c r="D428" t="s" s="27">
        <v>1191</v>
      </c>
      <c r="E428" t="s" s="27">
        <v>481</v>
      </c>
      <c r="F428" t="s" s="27">
        <v>836</v>
      </c>
      <c r="G428" s="33"/>
      <c r="H428" s="34"/>
      <c r="I428" s="31"/>
      <c r="J428" s="32"/>
    </row>
    <row r="429" ht="16" customHeight="1">
      <c r="A429" t="s" s="26">
        <v>1192</v>
      </c>
      <c r="B429" t="s" s="27">
        <v>41</v>
      </c>
      <c r="C429" t="s" s="27">
        <v>42</v>
      </c>
      <c r="D429" t="s" s="27">
        <v>1193</v>
      </c>
      <c r="E429" t="s" s="27">
        <v>484</v>
      </c>
      <c r="F429" t="s" s="27">
        <v>836</v>
      </c>
      <c r="G429" s="33"/>
      <c r="H429" s="34"/>
      <c r="I429" s="31"/>
      <c r="J429" s="32"/>
    </row>
    <row r="430" ht="16" customHeight="1">
      <c r="A430" t="s" s="26">
        <v>1194</v>
      </c>
      <c r="B430" t="s" s="27">
        <v>41</v>
      </c>
      <c r="C430" t="s" s="27">
        <v>423</v>
      </c>
      <c r="D430" t="s" s="27">
        <v>1195</v>
      </c>
      <c r="E430" t="s" s="27">
        <v>487</v>
      </c>
      <c r="F430" t="s" s="27">
        <v>836</v>
      </c>
      <c r="G430" s="33"/>
      <c r="H430" s="34"/>
      <c r="I430" s="31"/>
      <c r="J430" s="32"/>
    </row>
    <row r="431" ht="16" customHeight="1">
      <c r="A431" t="s" s="26">
        <v>1196</v>
      </c>
      <c r="B431" t="s" s="27">
        <v>41</v>
      </c>
      <c r="C431" t="s" s="27">
        <v>838</v>
      </c>
      <c r="D431" t="s" s="27">
        <v>1197</v>
      </c>
      <c r="E431" t="s" s="27">
        <v>490</v>
      </c>
      <c r="F431" t="s" s="27">
        <v>836</v>
      </c>
      <c r="G431" s="33"/>
      <c r="H431" s="34"/>
      <c r="I431" s="31"/>
      <c r="J431" s="32"/>
    </row>
    <row r="432" ht="16" customHeight="1">
      <c r="A432" t="s" s="26">
        <v>1198</v>
      </c>
      <c r="B432" t="s" s="27">
        <v>41</v>
      </c>
      <c r="C432" s="35"/>
      <c r="D432" t="s" s="27">
        <v>1199</v>
      </c>
      <c r="E432" t="s" s="27">
        <v>493</v>
      </c>
      <c r="F432" t="s" s="27">
        <v>836</v>
      </c>
      <c r="G432" s="33"/>
      <c r="H432" s="34"/>
      <c r="I432" s="31"/>
      <c r="J432" s="32"/>
    </row>
    <row r="433" ht="16" customHeight="1">
      <c r="A433" t="s" s="26">
        <v>1200</v>
      </c>
      <c r="B433" t="s" s="27">
        <v>41</v>
      </c>
      <c r="C433" t="s" s="27">
        <v>838</v>
      </c>
      <c r="D433" t="s" s="27">
        <v>1201</v>
      </c>
      <c r="E433" t="s" s="27">
        <v>496</v>
      </c>
      <c r="F433" t="s" s="27">
        <v>836</v>
      </c>
      <c r="G433" s="33"/>
      <c r="H433" s="34"/>
      <c r="I433" s="31"/>
      <c r="J433" s="32"/>
    </row>
    <row r="434" ht="16" customHeight="1">
      <c r="A434" t="s" s="26">
        <v>1202</v>
      </c>
      <c r="B434" t="s" s="27">
        <v>41</v>
      </c>
      <c r="C434" t="s" s="27">
        <v>423</v>
      </c>
      <c r="D434" t="s" s="27">
        <v>1203</v>
      </c>
      <c r="E434" t="s" s="27">
        <v>499</v>
      </c>
      <c r="F434" t="s" s="27">
        <v>836</v>
      </c>
      <c r="G434" s="33"/>
      <c r="H434" s="34"/>
      <c r="I434" s="31"/>
      <c r="J434" s="32"/>
    </row>
    <row r="435" ht="16" customHeight="1">
      <c r="A435" t="s" s="26">
        <v>1204</v>
      </c>
      <c r="B435" t="s" s="27">
        <v>41</v>
      </c>
      <c r="C435" t="s" s="27">
        <v>423</v>
      </c>
      <c r="D435" t="s" s="27">
        <v>1205</v>
      </c>
      <c r="E435" t="s" s="27">
        <v>499</v>
      </c>
      <c r="F435" t="s" s="27">
        <v>836</v>
      </c>
      <c r="G435" s="33"/>
      <c r="H435" s="34"/>
      <c r="I435" s="31"/>
      <c r="J435" s="32"/>
    </row>
    <row r="436" ht="16" customHeight="1">
      <c r="A436" t="s" s="26">
        <v>1206</v>
      </c>
      <c r="B436" t="s" s="27">
        <v>41</v>
      </c>
      <c r="C436" t="s" s="27">
        <v>423</v>
      </c>
      <c r="D436" t="s" s="27">
        <v>1207</v>
      </c>
      <c r="E436" t="s" s="27">
        <v>502</v>
      </c>
      <c r="F436" t="s" s="27">
        <v>836</v>
      </c>
      <c r="G436" s="33"/>
      <c r="H436" s="34"/>
      <c r="I436" s="31"/>
      <c r="J436" s="32"/>
    </row>
    <row r="437" ht="16" customHeight="1">
      <c r="A437" t="s" s="26">
        <v>1208</v>
      </c>
      <c r="B437" t="s" s="27">
        <v>41</v>
      </c>
      <c r="C437" t="s" s="27">
        <v>42</v>
      </c>
      <c r="D437" t="s" s="27">
        <v>1209</v>
      </c>
      <c r="E437" t="s" s="27">
        <v>505</v>
      </c>
      <c r="F437" t="s" s="27">
        <v>836</v>
      </c>
      <c r="G437" s="33"/>
      <c r="H437" s="34"/>
      <c r="I437" s="31"/>
      <c r="J437" s="32"/>
    </row>
    <row r="438" ht="16" customHeight="1">
      <c r="A438" t="s" s="26">
        <v>1210</v>
      </c>
      <c r="B438" t="s" s="27">
        <v>41</v>
      </c>
      <c r="C438" t="s" s="27">
        <v>42</v>
      </c>
      <c r="D438" t="s" s="27">
        <v>1211</v>
      </c>
      <c r="E438" t="s" s="27">
        <v>508</v>
      </c>
      <c r="F438" t="s" s="27">
        <v>836</v>
      </c>
      <c r="G438" s="33"/>
      <c r="H438" s="34"/>
      <c r="I438" s="31"/>
      <c r="J438" s="32"/>
    </row>
    <row r="439" ht="16" customHeight="1">
      <c r="A439" t="s" s="26">
        <v>1212</v>
      </c>
      <c r="B439" t="s" s="27">
        <v>41</v>
      </c>
      <c r="C439" t="s" s="27">
        <v>42</v>
      </c>
      <c r="D439" t="s" s="27">
        <v>1213</v>
      </c>
      <c r="E439" t="s" s="27">
        <v>511</v>
      </c>
      <c r="F439" t="s" s="27">
        <v>836</v>
      </c>
      <c r="G439" s="33"/>
      <c r="H439" s="34"/>
      <c r="I439" s="31"/>
      <c r="J439" s="32"/>
    </row>
    <row r="440" ht="16" customHeight="1">
      <c r="A440" t="s" s="26">
        <v>1214</v>
      </c>
      <c r="B440" t="s" s="27">
        <v>41</v>
      </c>
      <c r="C440" t="s" s="27">
        <v>42</v>
      </c>
      <c r="D440" t="s" s="27">
        <v>1215</v>
      </c>
      <c r="E440" t="s" s="27">
        <v>514</v>
      </c>
      <c r="F440" t="s" s="27">
        <v>836</v>
      </c>
      <c r="G440" s="33"/>
      <c r="H440" s="34"/>
      <c r="I440" s="31"/>
      <c r="J440" s="32"/>
    </row>
    <row r="441" ht="16" customHeight="1">
      <c r="A441" t="s" s="26">
        <v>1216</v>
      </c>
      <c r="B441" t="s" s="27">
        <v>41</v>
      </c>
      <c r="C441" t="s" s="27">
        <v>42</v>
      </c>
      <c r="D441" t="s" s="27">
        <v>1217</v>
      </c>
      <c r="E441" t="s" s="27">
        <v>517</v>
      </c>
      <c r="F441" t="s" s="27">
        <v>836</v>
      </c>
      <c r="G441" s="33"/>
      <c r="H441" s="34"/>
      <c r="I441" s="31"/>
      <c r="J441" s="32"/>
    </row>
    <row r="442" ht="16" customHeight="1">
      <c r="A442" t="s" s="26">
        <v>1218</v>
      </c>
      <c r="B442" t="s" s="27">
        <v>41</v>
      </c>
      <c r="C442" t="s" s="27">
        <v>42</v>
      </c>
      <c r="D442" t="s" s="27">
        <v>1219</v>
      </c>
      <c r="E442" t="s" s="27">
        <v>517</v>
      </c>
      <c r="F442" t="s" s="27">
        <v>836</v>
      </c>
      <c r="G442" s="33"/>
      <c r="H442" s="34"/>
      <c r="I442" s="31"/>
      <c r="J442" s="32"/>
    </row>
    <row r="443" ht="16" customHeight="1">
      <c r="A443" t="s" s="26">
        <v>1220</v>
      </c>
      <c r="B443" t="s" s="27">
        <v>41</v>
      </c>
      <c r="C443" t="s" s="27">
        <v>423</v>
      </c>
      <c r="D443" t="s" s="27">
        <v>1221</v>
      </c>
      <c r="E443" t="s" s="27">
        <v>520</v>
      </c>
      <c r="F443" t="s" s="27">
        <v>836</v>
      </c>
      <c r="G443" s="33"/>
      <c r="H443" s="34"/>
      <c r="I443" s="31"/>
      <c r="J443" s="32"/>
    </row>
    <row r="444" ht="16" customHeight="1">
      <c r="A444" t="s" s="26">
        <v>1222</v>
      </c>
      <c r="B444" t="s" s="27">
        <v>41</v>
      </c>
      <c r="C444" t="s" s="27">
        <v>423</v>
      </c>
      <c r="D444" t="s" s="27">
        <v>1223</v>
      </c>
      <c r="E444" t="s" s="27">
        <v>523</v>
      </c>
      <c r="F444" t="s" s="27">
        <v>836</v>
      </c>
      <c r="G444" s="33"/>
      <c r="H444" s="34"/>
      <c r="I444" s="31"/>
      <c r="J444" s="32"/>
    </row>
    <row r="445" ht="16" customHeight="1">
      <c r="A445" t="s" s="26">
        <v>1224</v>
      </c>
      <c r="B445" t="s" s="27">
        <v>41</v>
      </c>
      <c r="C445" t="s" s="27">
        <v>838</v>
      </c>
      <c r="D445" t="s" s="27">
        <v>1225</v>
      </c>
      <c r="E445" t="s" s="27">
        <v>527</v>
      </c>
      <c r="F445" t="s" s="27">
        <v>836</v>
      </c>
      <c r="G445" s="33"/>
      <c r="H445" t="s" s="29">
        <v>1226</v>
      </c>
      <c r="I445" s="31"/>
      <c r="J445" s="32"/>
    </row>
    <row r="446" ht="16" customHeight="1">
      <c r="A446" t="s" s="26">
        <v>1227</v>
      </c>
      <c r="B446" t="s" s="27">
        <v>41</v>
      </c>
      <c r="C446" t="s" s="27">
        <v>42</v>
      </c>
      <c r="D446" t="s" s="27">
        <v>1228</v>
      </c>
      <c r="E446" t="s" s="27">
        <v>530</v>
      </c>
      <c r="F446" t="s" s="27">
        <v>836</v>
      </c>
      <c r="G446" s="33">
        <v>3</v>
      </c>
      <c r="H446" s="34"/>
      <c r="I446" s="31"/>
      <c r="J446" s="32"/>
    </row>
    <row r="447" ht="16" customHeight="1">
      <c r="A447" t="s" s="26">
        <v>1229</v>
      </c>
      <c r="B447" t="s" s="27">
        <v>41</v>
      </c>
      <c r="C447" t="s" s="27">
        <v>42</v>
      </c>
      <c r="D447" t="s" s="27">
        <v>1230</v>
      </c>
      <c r="E447" t="s" s="27">
        <v>533</v>
      </c>
      <c r="F447" t="s" s="27">
        <v>836</v>
      </c>
      <c r="G447" s="33">
        <v>3</v>
      </c>
      <c r="H447" s="34"/>
      <c r="I447" s="31"/>
      <c r="J447" s="32"/>
    </row>
    <row r="448" ht="24" customHeight="1">
      <c r="A448" t="s" s="26">
        <v>1231</v>
      </c>
      <c r="B448" t="s" s="27">
        <v>41</v>
      </c>
      <c r="C448" t="s" s="27">
        <v>423</v>
      </c>
      <c r="D448" t="s" s="27">
        <v>1232</v>
      </c>
      <c r="E448" t="s" s="27">
        <v>536</v>
      </c>
      <c r="F448" t="s" s="27">
        <v>836</v>
      </c>
      <c r="G448" s="33">
        <v>4</v>
      </c>
      <c r="H448" s="34"/>
      <c r="I448" s="31"/>
      <c r="J448" s="32"/>
    </row>
    <row r="449" ht="16" customHeight="1">
      <c r="A449" t="s" s="26">
        <v>1233</v>
      </c>
      <c r="B449" t="s" s="27">
        <v>41</v>
      </c>
      <c r="C449" t="s" s="27">
        <v>42</v>
      </c>
      <c r="D449" t="s" s="27">
        <v>1234</v>
      </c>
      <c r="E449" t="s" s="27">
        <v>536</v>
      </c>
      <c r="F449" t="s" s="27">
        <v>836</v>
      </c>
      <c r="G449" s="33">
        <v>4</v>
      </c>
      <c r="H449" s="34"/>
      <c r="I449" s="31"/>
      <c r="J449" s="32"/>
    </row>
    <row r="450" ht="16" customHeight="1">
      <c r="A450" t="s" s="26">
        <v>1235</v>
      </c>
      <c r="B450" t="s" s="27">
        <v>41</v>
      </c>
      <c r="C450" t="s" s="27">
        <v>423</v>
      </c>
      <c r="D450" t="s" s="27">
        <v>1236</v>
      </c>
      <c r="E450" t="s" s="27">
        <v>539</v>
      </c>
      <c r="F450" t="s" s="27">
        <v>836</v>
      </c>
      <c r="G450" t="s" s="28">
        <v>1237</v>
      </c>
      <c r="H450" s="34"/>
      <c r="I450" s="31"/>
      <c r="J450" s="32"/>
    </row>
    <row r="451" ht="16" customHeight="1">
      <c r="A451" t="s" s="26">
        <v>1238</v>
      </c>
      <c r="B451" t="s" s="27">
        <v>41</v>
      </c>
      <c r="C451" t="s" s="27">
        <v>449</v>
      </c>
      <c r="D451" t="s" s="27">
        <v>1239</v>
      </c>
      <c r="E451" t="s" s="27">
        <v>1240</v>
      </c>
      <c r="F451" t="s" s="27">
        <v>836</v>
      </c>
      <c r="G451" t="s" s="28">
        <v>1237</v>
      </c>
      <c r="H451" s="34"/>
      <c r="I451" s="31"/>
      <c r="J451" s="32"/>
    </row>
    <row r="452" ht="16" customHeight="1">
      <c r="A452" t="s" s="26">
        <v>1241</v>
      </c>
      <c r="B452" t="s" s="27">
        <v>41</v>
      </c>
      <c r="C452" t="s" s="27">
        <v>42</v>
      </c>
      <c r="D452" t="s" s="27">
        <v>1242</v>
      </c>
      <c r="E452" t="s" s="27">
        <v>542</v>
      </c>
      <c r="F452" t="s" s="27">
        <v>836</v>
      </c>
      <c r="G452" s="33">
        <v>4</v>
      </c>
      <c r="H452" s="34"/>
      <c r="I452" s="31"/>
      <c r="J452" s="32"/>
    </row>
    <row r="453" ht="16" customHeight="1">
      <c r="A453" t="s" s="26">
        <v>1243</v>
      </c>
      <c r="B453" t="s" s="27">
        <v>41</v>
      </c>
      <c r="C453" t="s" s="27">
        <v>838</v>
      </c>
      <c r="D453" t="s" s="27">
        <v>1244</v>
      </c>
      <c r="E453" t="s" s="27">
        <v>1245</v>
      </c>
      <c r="F453" t="s" s="27">
        <v>836</v>
      </c>
      <c r="G453" t="s" s="28">
        <v>67</v>
      </c>
      <c r="H453" s="34"/>
      <c r="I453" s="31"/>
      <c r="J453" s="32"/>
    </row>
    <row r="454" ht="16" customHeight="1">
      <c r="A454" t="s" s="26">
        <v>1246</v>
      </c>
      <c r="B454" t="s" s="27">
        <v>41</v>
      </c>
      <c r="C454" t="s" s="27">
        <v>423</v>
      </c>
      <c r="D454" t="s" s="27">
        <v>1247</v>
      </c>
      <c r="E454" t="s" s="27">
        <v>545</v>
      </c>
      <c r="F454" t="s" s="27">
        <v>836</v>
      </c>
      <c r="G454" s="33">
        <v>5</v>
      </c>
      <c r="H454" s="34"/>
      <c r="I454" s="31"/>
      <c r="J454" s="32"/>
    </row>
    <row r="455" ht="16" customHeight="1">
      <c r="A455" t="s" s="26">
        <v>1248</v>
      </c>
      <c r="B455" t="s" s="27">
        <v>41</v>
      </c>
      <c r="C455" t="s" s="27">
        <v>42</v>
      </c>
      <c r="D455" t="s" s="27">
        <v>1249</v>
      </c>
      <c r="E455" t="s" s="27">
        <v>548</v>
      </c>
      <c r="F455" t="s" s="27">
        <v>836</v>
      </c>
      <c r="G455" s="33">
        <v>5</v>
      </c>
      <c r="H455" s="34"/>
      <c r="I455" s="31"/>
      <c r="J455" s="32"/>
    </row>
    <row r="456" ht="16" customHeight="1">
      <c r="A456" t="s" s="26">
        <v>1250</v>
      </c>
      <c r="B456" t="s" s="27">
        <v>41</v>
      </c>
      <c r="C456" t="s" s="27">
        <v>838</v>
      </c>
      <c r="D456" t="s" s="27">
        <v>1251</v>
      </c>
      <c r="E456" t="s" s="27">
        <v>548</v>
      </c>
      <c r="F456" t="s" s="27">
        <v>836</v>
      </c>
      <c r="G456" t="s" s="28">
        <v>1252</v>
      </c>
      <c r="H456" s="34"/>
      <c r="I456" s="31"/>
      <c r="J456" s="32"/>
    </row>
    <row r="457" ht="16" customHeight="1">
      <c r="A457" t="s" s="26">
        <v>1253</v>
      </c>
      <c r="B457" t="s" s="27">
        <v>41</v>
      </c>
      <c r="C457" t="s" s="27">
        <v>423</v>
      </c>
      <c r="D457" t="s" s="27">
        <v>1254</v>
      </c>
      <c r="E457" t="s" s="27">
        <v>551</v>
      </c>
      <c r="F457" t="s" s="27">
        <v>836</v>
      </c>
      <c r="G457" s="33">
        <v>5</v>
      </c>
      <c r="H457" s="34"/>
      <c r="I457" s="31"/>
      <c r="J457" s="32"/>
    </row>
    <row r="458" ht="16" customHeight="1">
      <c r="A458" t="s" s="26">
        <v>1255</v>
      </c>
      <c r="B458" t="s" s="27">
        <v>41</v>
      </c>
      <c r="C458" t="s" s="27">
        <v>838</v>
      </c>
      <c r="D458" t="s" s="27">
        <v>1256</v>
      </c>
      <c r="E458" t="s" s="27">
        <v>1257</v>
      </c>
      <c r="F458" t="s" s="27">
        <v>836</v>
      </c>
      <c r="G458" t="s" s="28">
        <v>46</v>
      </c>
      <c r="H458" s="34"/>
      <c r="I458" s="31"/>
      <c r="J458" s="32"/>
    </row>
    <row r="459" ht="16" customHeight="1">
      <c r="A459" t="s" s="26">
        <v>1258</v>
      </c>
      <c r="B459" t="s" s="27">
        <v>41</v>
      </c>
      <c r="C459" t="s" s="27">
        <v>423</v>
      </c>
      <c r="D459" t="s" s="27">
        <v>1259</v>
      </c>
      <c r="E459" t="s" s="27">
        <v>554</v>
      </c>
      <c r="F459" t="s" s="27">
        <v>836</v>
      </c>
      <c r="G459" s="33">
        <v>4</v>
      </c>
      <c r="H459" s="34"/>
      <c r="I459" s="31"/>
      <c r="J459" s="32"/>
    </row>
    <row r="460" ht="16" customHeight="1">
      <c r="A460" t="s" s="26">
        <v>1260</v>
      </c>
      <c r="B460" t="s" s="27">
        <v>41</v>
      </c>
      <c r="C460" t="s" s="27">
        <v>42</v>
      </c>
      <c r="D460" t="s" s="27">
        <v>1261</v>
      </c>
      <c r="E460" t="s" s="27">
        <v>557</v>
      </c>
      <c r="F460" t="s" s="27">
        <v>836</v>
      </c>
      <c r="G460" s="33">
        <v>3</v>
      </c>
      <c r="H460" s="34"/>
      <c r="I460" s="31"/>
      <c r="J460" s="32"/>
    </row>
    <row r="461" ht="16" customHeight="1">
      <c r="A461" t="s" s="26">
        <v>1262</v>
      </c>
      <c r="B461" t="s" s="27">
        <v>41</v>
      </c>
      <c r="C461" t="s" s="27">
        <v>42</v>
      </c>
      <c r="D461" t="s" s="27">
        <v>1263</v>
      </c>
      <c r="E461" t="s" s="27">
        <v>560</v>
      </c>
      <c r="F461" t="s" s="27">
        <v>836</v>
      </c>
      <c r="G461" s="33">
        <v>4</v>
      </c>
      <c r="H461" s="34"/>
      <c r="I461" s="31"/>
      <c r="J461" s="32"/>
    </row>
    <row r="462" ht="16" customHeight="1">
      <c r="A462" t="s" s="26">
        <v>1264</v>
      </c>
      <c r="B462" t="s" s="27">
        <v>41</v>
      </c>
      <c r="C462" t="s" s="27">
        <v>42</v>
      </c>
      <c r="D462" t="s" s="27">
        <v>1265</v>
      </c>
      <c r="E462" t="s" s="27">
        <v>563</v>
      </c>
      <c r="F462" t="s" s="27">
        <v>836</v>
      </c>
      <c r="G462" s="33">
        <v>4</v>
      </c>
      <c r="H462" s="34"/>
      <c r="I462" s="31"/>
      <c r="J462" s="32"/>
    </row>
    <row r="463" ht="16" customHeight="1">
      <c r="A463" t="s" s="26">
        <v>1266</v>
      </c>
      <c r="B463" t="s" s="27">
        <v>41</v>
      </c>
      <c r="C463" t="s" s="27">
        <v>42</v>
      </c>
      <c r="D463" t="s" s="27">
        <v>1267</v>
      </c>
      <c r="E463" t="s" s="27">
        <v>563</v>
      </c>
      <c r="F463" t="s" s="27">
        <v>836</v>
      </c>
      <c r="G463" s="33">
        <v>4</v>
      </c>
      <c r="H463" s="34"/>
      <c r="I463" s="31"/>
      <c r="J463" s="32"/>
    </row>
    <row r="464" ht="16" customHeight="1">
      <c r="A464" t="s" s="26">
        <v>1268</v>
      </c>
      <c r="B464" t="s" s="27">
        <v>41</v>
      </c>
      <c r="C464" t="s" s="27">
        <v>42</v>
      </c>
      <c r="D464" t="s" s="27">
        <v>1269</v>
      </c>
      <c r="E464" t="s" s="27">
        <v>566</v>
      </c>
      <c r="F464" t="s" s="27">
        <v>836</v>
      </c>
      <c r="G464" t="s" s="28">
        <v>67</v>
      </c>
      <c r="H464" s="34"/>
      <c r="I464" s="31"/>
      <c r="J464" s="32"/>
    </row>
    <row r="465" ht="16" customHeight="1">
      <c r="A465" t="s" s="26">
        <v>1270</v>
      </c>
      <c r="B465" t="s" s="27">
        <v>41</v>
      </c>
      <c r="C465" t="s" s="27">
        <v>42</v>
      </c>
      <c r="D465" t="s" s="27">
        <v>1271</v>
      </c>
      <c r="E465" t="s" s="27">
        <v>570</v>
      </c>
      <c r="F465" t="s" s="27">
        <v>836</v>
      </c>
      <c r="G465" s="33">
        <v>4</v>
      </c>
      <c r="H465" s="34"/>
      <c r="I465" s="31"/>
      <c r="J465" s="32"/>
    </row>
    <row r="466" ht="16" customHeight="1">
      <c r="A466" t="s" s="26">
        <v>1272</v>
      </c>
      <c r="B466" t="s" s="27">
        <v>41</v>
      </c>
      <c r="C466" t="s" s="27">
        <v>423</v>
      </c>
      <c r="D466" t="s" s="27">
        <v>1273</v>
      </c>
      <c r="E466" t="s" s="27">
        <v>573</v>
      </c>
      <c r="F466" t="s" s="27">
        <v>836</v>
      </c>
      <c r="G466" s="33">
        <v>4</v>
      </c>
      <c r="H466" s="34"/>
      <c r="I466" s="31"/>
      <c r="J466" s="32"/>
    </row>
    <row r="467" ht="16" customHeight="1">
      <c r="A467" t="s" s="26">
        <v>1274</v>
      </c>
      <c r="B467" t="s" s="27">
        <v>41</v>
      </c>
      <c r="C467" t="s" s="27">
        <v>42</v>
      </c>
      <c r="D467" t="s" s="27">
        <v>1275</v>
      </c>
      <c r="E467" t="s" s="27">
        <v>576</v>
      </c>
      <c r="F467" t="s" s="27">
        <v>836</v>
      </c>
      <c r="G467" s="33">
        <v>4</v>
      </c>
      <c r="H467" s="34"/>
      <c r="I467" s="31"/>
      <c r="J467" s="32"/>
    </row>
    <row r="468" ht="16" customHeight="1">
      <c r="A468" t="s" s="26">
        <v>1276</v>
      </c>
      <c r="B468" t="s" s="27">
        <v>41</v>
      </c>
      <c r="C468" t="s" s="27">
        <v>423</v>
      </c>
      <c r="D468" t="s" s="27">
        <v>1277</v>
      </c>
      <c r="E468" t="s" s="27">
        <v>580</v>
      </c>
      <c r="F468" t="s" s="27">
        <v>836</v>
      </c>
      <c r="G468" s="33">
        <v>4</v>
      </c>
      <c r="H468" t="s" s="29">
        <v>628</v>
      </c>
      <c r="I468" t="s" s="39">
        <v>629</v>
      </c>
      <c r="J468" s="32"/>
    </row>
    <row r="469" ht="24" customHeight="1">
      <c r="A469" t="s" s="26">
        <v>1278</v>
      </c>
      <c r="B469" t="s" s="27">
        <v>41</v>
      </c>
      <c r="C469" t="s" s="27">
        <v>423</v>
      </c>
      <c r="D469" t="s" s="27">
        <v>1279</v>
      </c>
      <c r="E469" t="s" s="27">
        <v>584</v>
      </c>
      <c r="F469" t="s" s="27">
        <v>836</v>
      </c>
      <c r="G469" t="s" s="28">
        <v>1237</v>
      </c>
      <c r="H469" t="s" s="29">
        <v>1280</v>
      </c>
      <c r="I469" s="31"/>
      <c r="J469" s="32"/>
    </row>
    <row r="470" ht="16" customHeight="1">
      <c r="A470" t="s" s="26">
        <v>1281</v>
      </c>
      <c r="B470" t="s" s="27">
        <v>41</v>
      </c>
      <c r="C470" t="s" s="27">
        <v>42</v>
      </c>
      <c r="D470" t="s" s="27">
        <v>1282</v>
      </c>
      <c r="E470" t="s" s="27">
        <v>584</v>
      </c>
      <c r="F470" t="s" s="27">
        <v>836</v>
      </c>
      <c r="G470" s="33">
        <v>5</v>
      </c>
      <c r="H470" t="s" s="29">
        <v>1283</v>
      </c>
      <c r="I470" s="31"/>
      <c r="J470" s="32"/>
    </row>
    <row r="471" ht="16" customHeight="1">
      <c r="A471" t="s" s="26">
        <v>1284</v>
      </c>
      <c r="B471" t="s" s="27">
        <v>41</v>
      </c>
      <c r="C471" t="s" s="27">
        <v>42</v>
      </c>
      <c r="D471" t="s" s="27">
        <v>1285</v>
      </c>
      <c r="E471" t="s" s="27">
        <v>588</v>
      </c>
      <c r="F471" t="s" s="27">
        <v>836</v>
      </c>
      <c r="G471" s="33">
        <v>5</v>
      </c>
      <c r="H471" s="34"/>
      <c r="I471" s="31"/>
      <c r="J471" s="32"/>
    </row>
    <row r="472" ht="16" customHeight="1">
      <c r="A472" t="s" s="26">
        <v>1286</v>
      </c>
      <c r="B472" t="s" s="27">
        <v>41</v>
      </c>
      <c r="C472" t="s" s="27">
        <v>42</v>
      </c>
      <c r="D472" t="s" s="27">
        <v>1287</v>
      </c>
      <c r="E472" t="s" s="27">
        <v>591</v>
      </c>
      <c r="F472" t="s" s="27">
        <v>836</v>
      </c>
      <c r="G472" s="33">
        <v>5</v>
      </c>
      <c r="H472" s="34"/>
      <c r="I472" s="31"/>
      <c r="J472" s="32"/>
    </row>
    <row r="473" ht="16" customHeight="1">
      <c r="A473" t="s" s="26">
        <v>1288</v>
      </c>
      <c r="B473" t="s" s="27">
        <v>41</v>
      </c>
      <c r="C473" t="s" s="27">
        <v>42</v>
      </c>
      <c r="D473" t="s" s="27">
        <v>1289</v>
      </c>
      <c r="E473" t="s" s="27">
        <v>594</v>
      </c>
      <c r="F473" t="s" s="27">
        <v>836</v>
      </c>
      <c r="G473" s="33">
        <v>5</v>
      </c>
      <c r="H473" s="34"/>
      <c r="I473" s="31"/>
      <c r="J473" s="32"/>
    </row>
    <row r="474" ht="16" customHeight="1">
      <c r="A474" t="s" s="26">
        <v>1290</v>
      </c>
      <c r="B474" t="s" s="27">
        <v>41</v>
      </c>
      <c r="C474" t="s" s="27">
        <v>449</v>
      </c>
      <c r="D474" t="s" s="27">
        <v>1291</v>
      </c>
      <c r="E474" t="s" s="27">
        <v>597</v>
      </c>
      <c r="F474" t="s" s="27">
        <v>836</v>
      </c>
      <c r="G474" s="33">
        <v>5</v>
      </c>
      <c r="H474" s="34"/>
      <c r="I474" s="31"/>
      <c r="J474" s="32"/>
    </row>
    <row r="475" ht="16" customHeight="1">
      <c r="A475" t="s" s="26">
        <v>1292</v>
      </c>
      <c r="B475" t="s" s="27">
        <v>41</v>
      </c>
      <c r="C475" t="s" s="27">
        <v>42</v>
      </c>
      <c r="D475" t="s" s="27">
        <v>1293</v>
      </c>
      <c r="E475" t="s" s="27">
        <v>600</v>
      </c>
      <c r="F475" t="s" s="27">
        <v>836</v>
      </c>
      <c r="G475" t="s" s="28">
        <v>1294</v>
      </c>
      <c r="H475" s="34"/>
      <c r="I475" s="31"/>
      <c r="J475" s="32"/>
    </row>
    <row r="476" ht="24" customHeight="1">
      <c r="A476" t="s" s="26">
        <v>1295</v>
      </c>
      <c r="B476" t="s" s="27">
        <v>41</v>
      </c>
      <c r="C476" t="s" s="27">
        <v>42</v>
      </c>
      <c r="D476" t="s" s="27">
        <v>1296</v>
      </c>
      <c r="E476" t="s" s="27">
        <v>603</v>
      </c>
      <c r="F476" t="s" s="27">
        <v>836</v>
      </c>
      <c r="G476" s="33">
        <v>4</v>
      </c>
      <c r="H476" s="34"/>
      <c r="I476" s="31"/>
      <c r="J476" s="32"/>
    </row>
    <row r="477" ht="16" customHeight="1">
      <c r="A477" t="s" s="26">
        <v>1297</v>
      </c>
      <c r="B477" t="s" s="27">
        <v>41</v>
      </c>
      <c r="C477" t="s" s="27">
        <v>42</v>
      </c>
      <c r="D477" t="s" s="27">
        <v>1298</v>
      </c>
      <c r="E477" t="s" s="27">
        <v>603</v>
      </c>
      <c r="F477" t="s" s="27">
        <v>836</v>
      </c>
      <c r="G477" s="33">
        <v>4</v>
      </c>
      <c r="H477" s="34"/>
      <c r="I477" s="31"/>
      <c r="J477" s="32"/>
    </row>
    <row r="478" ht="16" customHeight="1">
      <c r="A478" t="s" s="26">
        <v>1299</v>
      </c>
      <c r="B478" t="s" s="27">
        <v>41</v>
      </c>
      <c r="C478" t="s" s="27">
        <v>423</v>
      </c>
      <c r="D478" t="s" s="27">
        <v>1300</v>
      </c>
      <c r="E478" t="s" s="27">
        <v>606</v>
      </c>
      <c r="F478" t="s" s="27">
        <v>836</v>
      </c>
      <c r="G478" s="33"/>
      <c r="H478" t="s" s="29">
        <v>1301</v>
      </c>
      <c r="I478" s="31"/>
      <c r="J478" s="32"/>
    </row>
    <row r="479" ht="16" customHeight="1">
      <c r="A479" t="s" s="26">
        <v>1302</v>
      </c>
      <c r="B479" t="s" s="27">
        <v>41</v>
      </c>
      <c r="C479" t="s" s="27">
        <v>838</v>
      </c>
      <c r="D479" t="s" s="27">
        <v>1303</v>
      </c>
      <c r="E479" t="s" s="27">
        <v>609</v>
      </c>
      <c r="F479" t="s" s="27">
        <v>836</v>
      </c>
      <c r="G479" s="33">
        <v>5</v>
      </c>
      <c r="H479" s="34"/>
      <c r="I479" s="31"/>
      <c r="J479" s="32"/>
    </row>
    <row r="480" ht="16" customHeight="1">
      <c r="A480" t="s" s="26">
        <v>1304</v>
      </c>
      <c r="B480" t="s" s="27">
        <v>41</v>
      </c>
      <c r="C480" t="s" s="27">
        <v>423</v>
      </c>
      <c r="D480" t="s" s="27">
        <v>1305</v>
      </c>
      <c r="E480" t="s" s="27">
        <v>612</v>
      </c>
      <c r="F480" t="s" s="27">
        <v>836</v>
      </c>
      <c r="G480" s="33">
        <v>3</v>
      </c>
      <c r="H480" s="34"/>
      <c r="I480" s="31"/>
      <c r="J480" s="32"/>
    </row>
    <row r="481" ht="16" customHeight="1">
      <c r="A481" t="s" s="26">
        <v>1306</v>
      </c>
      <c r="B481" t="s" s="27">
        <v>41</v>
      </c>
      <c r="C481" t="s" s="27">
        <v>42</v>
      </c>
      <c r="D481" t="s" s="27">
        <v>1307</v>
      </c>
      <c r="E481" t="s" s="27">
        <v>615</v>
      </c>
      <c r="F481" t="s" s="27">
        <v>836</v>
      </c>
      <c r="G481" s="33">
        <v>5</v>
      </c>
      <c r="H481" s="34"/>
      <c r="I481" s="31"/>
      <c r="J481" s="32"/>
    </row>
    <row r="482" ht="16" customHeight="1">
      <c r="A482" t="s" s="26">
        <v>1308</v>
      </c>
      <c r="B482" t="s" s="27">
        <v>41</v>
      </c>
      <c r="C482" t="s" s="27">
        <v>42</v>
      </c>
      <c r="D482" t="s" s="27">
        <v>1309</v>
      </c>
      <c r="E482" t="s" s="27">
        <v>618</v>
      </c>
      <c r="F482" t="s" s="27">
        <v>836</v>
      </c>
      <c r="G482" t="s" s="28">
        <v>1237</v>
      </c>
      <c r="H482" s="34"/>
      <c r="I482" s="31"/>
      <c r="J482" s="32"/>
    </row>
    <row r="483" ht="16" customHeight="1">
      <c r="A483" t="s" s="26">
        <v>1310</v>
      </c>
      <c r="B483" t="s" s="27">
        <v>41</v>
      </c>
      <c r="C483" t="s" s="27">
        <v>423</v>
      </c>
      <c r="D483" t="s" s="27">
        <v>1311</v>
      </c>
      <c r="E483" t="s" s="27">
        <v>621</v>
      </c>
      <c r="F483" t="s" s="27">
        <v>836</v>
      </c>
      <c r="G483" s="33">
        <v>4</v>
      </c>
      <c r="H483" s="34"/>
      <c r="I483" s="31"/>
      <c r="J483" s="32"/>
    </row>
    <row r="484" ht="16" customHeight="1">
      <c r="A484" t="s" s="26">
        <v>1312</v>
      </c>
      <c r="B484" t="s" s="27">
        <v>41</v>
      </c>
      <c r="C484" t="s" s="27">
        <v>42</v>
      </c>
      <c r="D484" t="s" s="27">
        <v>1313</v>
      </c>
      <c r="E484" t="s" s="27">
        <v>627</v>
      </c>
      <c r="F484" t="s" s="27">
        <v>836</v>
      </c>
      <c r="G484" s="33">
        <v>1</v>
      </c>
      <c r="H484" s="34"/>
      <c r="I484" s="31"/>
      <c r="J484" s="32"/>
    </row>
    <row r="485" ht="16" customHeight="1">
      <c r="A485" t="s" s="26">
        <v>1314</v>
      </c>
      <c r="B485" t="s" s="27">
        <v>41</v>
      </c>
      <c r="C485" t="s" s="27">
        <v>42</v>
      </c>
      <c r="D485" t="s" s="27">
        <v>1315</v>
      </c>
      <c r="E485" t="s" s="27">
        <v>632</v>
      </c>
      <c r="F485" t="s" s="27">
        <v>836</v>
      </c>
      <c r="G485" s="33">
        <v>1</v>
      </c>
      <c r="H485" s="34"/>
      <c r="I485" s="31"/>
      <c r="J485" s="32"/>
    </row>
    <row r="486" ht="16" customHeight="1">
      <c r="A486" t="s" s="26">
        <v>1316</v>
      </c>
      <c r="B486" t="s" s="27">
        <v>41</v>
      </c>
      <c r="C486" t="s" s="27">
        <v>838</v>
      </c>
      <c r="D486" t="s" s="27">
        <v>1317</v>
      </c>
      <c r="E486" t="s" s="27">
        <v>635</v>
      </c>
      <c r="F486" t="s" s="27">
        <v>836</v>
      </c>
      <c r="G486" s="33">
        <v>1</v>
      </c>
      <c r="H486" s="34"/>
      <c r="I486" s="31"/>
      <c r="J486" s="32"/>
    </row>
    <row r="487" ht="16" customHeight="1">
      <c r="A487" t="s" s="26">
        <v>1318</v>
      </c>
      <c r="B487" t="s" s="27">
        <v>41</v>
      </c>
      <c r="C487" t="s" s="27">
        <v>42</v>
      </c>
      <c r="D487" t="s" s="27">
        <v>1319</v>
      </c>
      <c r="E487" t="s" s="27">
        <v>639</v>
      </c>
      <c r="F487" t="s" s="27">
        <v>836</v>
      </c>
      <c r="G487" s="33">
        <v>1</v>
      </c>
      <c r="H487" s="34"/>
      <c r="I487" s="31"/>
      <c r="J487" s="32"/>
    </row>
    <row r="488" ht="16" customHeight="1">
      <c r="A488" t="s" s="26">
        <v>1320</v>
      </c>
      <c r="B488" t="s" s="27">
        <v>41</v>
      </c>
      <c r="C488" t="s" s="27">
        <v>449</v>
      </c>
      <c r="D488" t="s" s="27">
        <v>1321</v>
      </c>
      <c r="E488" t="s" s="27">
        <v>642</v>
      </c>
      <c r="F488" t="s" s="27">
        <v>836</v>
      </c>
      <c r="G488" s="33">
        <v>4</v>
      </c>
      <c r="H488" s="34"/>
      <c r="I488" s="31"/>
      <c r="J488" s="32"/>
    </row>
    <row r="489" ht="16" customHeight="1">
      <c r="A489" t="s" s="26">
        <v>1322</v>
      </c>
      <c r="B489" t="s" s="27">
        <v>41</v>
      </c>
      <c r="C489" t="s" s="27">
        <v>57</v>
      </c>
      <c r="D489" t="s" s="27">
        <v>1323</v>
      </c>
      <c r="E489" t="s" s="27">
        <v>645</v>
      </c>
      <c r="F489" t="s" s="27">
        <v>836</v>
      </c>
      <c r="G489" s="33">
        <v>4</v>
      </c>
      <c r="H489" s="34"/>
      <c r="I489" s="31"/>
      <c r="J489" s="32"/>
    </row>
    <row r="490" ht="16" customHeight="1">
      <c r="A490" t="s" s="26">
        <v>1324</v>
      </c>
      <c r="B490" t="s" s="27">
        <v>41</v>
      </c>
      <c r="C490" t="s" s="27">
        <v>838</v>
      </c>
      <c r="D490" t="s" s="27">
        <v>1325</v>
      </c>
      <c r="E490" t="s" s="27">
        <v>645</v>
      </c>
      <c r="F490" t="s" s="27">
        <v>836</v>
      </c>
      <c r="G490" s="33">
        <v>4</v>
      </c>
      <c r="H490" s="34"/>
      <c r="I490" s="31"/>
      <c r="J490" s="32"/>
    </row>
    <row r="491" ht="16" customHeight="1">
      <c r="A491" t="s" s="26">
        <v>1326</v>
      </c>
      <c r="B491" t="s" s="27">
        <v>41</v>
      </c>
      <c r="C491" t="s" s="27">
        <v>838</v>
      </c>
      <c r="D491" t="s" s="27">
        <v>1327</v>
      </c>
      <c r="E491" t="s" s="27">
        <v>648</v>
      </c>
      <c r="F491" t="s" s="27">
        <v>836</v>
      </c>
      <c r="G491" s="33">
        <v>4</v>
      </c>
      <c r="H491" s="34"/>
      <c r="I491" s="31"/>
      <c r="J491" s="32"/>
    </row>
    <row r="492" ht="24" customHeight="1">
      <c r="A492" t="s" s="26">
        <v>1328</v>
      </c>
      <c r="B492" t="s" s="27">
        <v>41</v>
      </c>
      <c r="C492" t="s" s="27">
        <v>423</v>
      </c>
      <c r="D492" t="s" s="27">
        <v>1329</v>
      </c>
      <c r="E492" t="s" s="27">
        <v>651</v>
      </c>
      <c r="F492" t="s" s="27">
        <v>836</v>
      </c>
      <c r="G492" s="33">
        <v>3</v>
      </c>
      <c r="H492" s="34"/>
      <c r="I492" s="31"/>
      <c r="J492" s="32"/>
    </row>
    <row r="493" ht="16" customHeight="1">
      <c r="A493" t="s" s="26">
        <v>1330</v>
      </c>
      <c r="B493" t="s" s="27">
        <v>41</v>
      </c>
      <c r="C493" t="s" s="27">
        <v>423</v>
      </c>
      <c r="D493" t="s" s="27">
        <v>1331</v>
      </c>
      <c r="E493" t="s" s="27">
        <v>654</v>
      </c>
      <c r="F493" t="s" s="27">
        <v>836</v>
      </c>
      <c r="G493" s="33">
        <v>2</v>
      </c>
      <c r="H493" s="34"/>
      <c r="I493" s="31"/>
      <c r="J493" s="32"/>
    </row>
    <row r="494" ht="16" customHeight="1">
      <c r="A494" t="s" s="26">
        <v>1332</v>
      </c>
      <c r="B494" t="s" s="27">
        <v>41</v>
      </c>
      <c r="C494" t="s" s="27">
        <v>42</v>
      </c>
      <c r="D494" t="s" s="27">
        <v>1333</v>
      </c>
      <c r="E494" t="s" s="27">
        <v>657</v>
      </c>
      <c r="F494" t="s" s="27">
        <v>836</v>
      </c>
      <c r="G494" s="33">
        <v>5</v>
      </c>
      <c r="H494" s="34"/>
      <c r="I494" s="31"/>
      <c r="J494" s="32"/>
    </row>
    <row r="495" ht="16" customHeight="1">
      <c r="A495" t="s" s="26">
        <v>1334</v>
      </c>
      <c r="B495" t="s" s="27">
        <v>41</v>
      </c>
      <c r="C495" t="s" s="27">
        <v>42</v>
      </c>
      <c r="D495" t="s" s="27">
        <v>1335</v>
      </c>
      <c r="E495" t="s" s="27">
        <v>660</v>
      </c>
      <c r="F495" t="s" s="27">
        <v>836</v>
      </c>
      <c r="G495" s="33">
        <v>5</v>
      </c>
      <c r="H495" s="34"/>
      <c r="I495" s="31"/>
      <c r="J495" s="32"/>
    </row>
    <row r="496" ht="16" customHeight="1">
      <c r="A496" t="s" s="26">
        <v>1336</v>
      </c>
      <c r="B496" t="s" s="27">
        <v>41</v>
      </c>
      <c r="C496" t="s" s="27">
        <v>423</v>
      </c>
      <c r="D496" t="s" s="27">
        <v>1337</v>
      </c>
      <c r="E496" t="s" s="27">
        <v>663</v>
      </c>
      <c r="F496" t="s" s="27">
        <v>836</v>
      </c>
      <c r="G496" s="33">
        <v>3</v>
      </c>
      <c r="H496" s="34"/>
      <c r="I496" s="31"/>
      <c r="J496" s="32"/>
    </row>
    <row r="497" ht="16" customHeight="1">
      <c r="A497" t="s" s="26">
        <v>1338</v>
      </c>
      <c r="B497" t="s" s="27">
        <v>41</v>
      </c>
      <c r="C497" t="s" s="27">
        <v>42</v>
      </c>
      <c r="D497" t="s" s="27">
        <v>1339</v>
      </c>
      <c r="E497" t="s" s="27">
        <v>666</v>
      </c>
      <c r="F497" t="s" s="27">
        <v>836</v>
      </c>
      <c r="G497" s="33">
        <v>3</v>
      </c>
      <c r="H497" s="34"/>
      <c r="I497" s="31"/>
      <c r="J497" s="32"/>
    </row>
    <row r="498" ht="16" customHeight="1">
      <c r="A498" t="s" s="26">
        <v>1340</v>
      </c>
      <c r="B498" t="s" s="27">
        <v>41</v>
      </c>
      <c r="C498" t="s" s="27">
        <v>423</v>
      </c>
      <c r="D498" t="s" s="27">
        <v>1341</v>
      </c>
      <c r="E498" t="s" s="27">
        <v>669</v>
      </c>
      <c r="F498" t="s" s="27">
        <v>836</v>
      </c>
      <c r="G498" s="33">
        <v>3</v>
      </c>
      <c r="H498" s="34"/>
      <c r="I498" s="31"/>
      <c r="J498" s="32"/>
    </row>
    <row r="499" ht="16" customHeight="1">
      <c r="A499" t="s" s="26">
        <v>1342</v>
      </c>
      <c r="B499" t="s" s="27">
        <v>41</v>
      </c>
      <c r="C499" t="s" s="27">
        <v>42</v>
      </c>
      <c r="D499" t="s" s="27">
        <v>1343</v>
      </c>
      <c r="E499" t="s" s="27">
        <v>672</v>
      </c>
      <c r="F499" t="s" s="27">
        <v>836</v>
      </c>
      <c r="G499" s="33">
        <v>2</v>
      </c>
      <c r="H499" s="34"/>
      <c r="I499" s="31"/>
      <c r="J499" s="32"/>
    </row>
    <row r="500" ht="16" customHeight="1">
      <c r="A500" t="s" s="26">
        <v>1344</v>
      </c>
      <c r="B500" t="s" s="27">
        <v>41</v>
      </c>
      <c r="C500" t="s" s="27">
        <v>42</v>
      </c>
      <c r="D500" t="s" s="27">
        <v>1345</v>
      </c>
      <c r="E500" t="s" s="27">
        <v>675</v>
      </c>
      <c r="F500" t="s" s="27">
        <v>836</v>
      </c>
      <c r="G500" s="33">
        <v>2</v>
      </c>
      <c r="H500" s="34"/>
      <c r="I500" s="31"/>
      <c r="J500" s="32"/>
    </row>
    <row r="501" ht="16" customHeight="1">
      <c r="A501" t="s" s="26">
        <v>1346</v>
      </c>
      <c r="B501" t="s" s="27">
        <v>41</v>
      </c>
      <c r="C501" t="s" s="27">
        <v>42</v>
      </c>
      <c r="D501" t="s" s="27">
        <v>1347</v>
      </c>
      <c r="E501" t="s" s="27">
        <v>678</v>
      </c>
      <c r="F501" t="s" s="27">
        <v>836</v>
      </c>
      <c r="G501" s="33">
        <v>2</v>
      </c>
      <c r="H501" s="34"/>
      <c r="I501" s="31"/>
      <c r="J501" s="32"/>
    </row>
    <row r="502" ht="24" customHeight="1">
      <c r="A502" t="s" s="26">
        <v>1348</v>
      </c>
      <c r="B502" t="s" s="27">
        <v>41</v>
      </c>
      <c r="C502" t="s" s="27">
        <v>73</v>
      </c>
      <c r="D502" t="s" s="27">
        <v>1349</v>
      </c>
      <c r="E502" t="s" s="27">
        <v>681</v>
      </c>
      <c r="F502" t="s" s="27">
        <v>836</v>
      </c>
      <c r="G502" s="33">
        <v>3</v>
      </c>
      <c r="H502" s="34"/>
      <c r="I502" s="31"/>
      <c r="J502" s="32"/>
    </row>
    <row r="503" ht="16" customHeight="1">
      <c r="A503" t="s" s="26">
        <v>1350</v>
      </c>
      <c r="B503" t="s" s="27">
        <v>41</v>
      </c>
      <c r="C503" t="s" s="27">
        <v>838</v>
      </c>
      <c r="D503" t="s" s="27">
        <v>1351</v>
      </c>
      <c r="E503" t="s" s="27">
        <v>681</v>
      </c>
      <c r="F503" t="s" s="27">
        <v>836</v>
      </c>
      <c r="G503" s="33">
        <v>3</v>
      </c>
      <c r="H503" s="34"/>
      <c r="I503" s="31"/>
      <c r="J503" s="32"/>
    </row>
    <row r="504" ht="16" customHeight="1">
      <c r="A504" t="s" s="26">
        <v>1352</v>
      </c>
      <c r="B504" t="s" s="27">
        <v>41</v>
      </c>
      <c r="C504" t="s" s="27">
        <v>42</v>
      </c>
      <c r="D504" t="s" s="27">
        <v>1353</v>
      </c>
      <c r="E504" t="s" s="27">
        <v>684</v>
      </c>
      <c r="F504" t="s" s="27">
        <v>836</v>
      </c>
      <c r="G504" s="33">
        <v>1</v>
      </c>
      <c r="H504" s="34"/>
      <c r="I504" s="31"/>
      <c r="J504" s="32"/>
    </row>
    <row r="505" ht="16" customHeight="1">
      <c r="A505" t="s" s="26">
        <v>1354</v>
      </c>
      <c r="B505" t="s" s="27">
        <v>41</v>
      </c>
      <c r="C505" t="s" s="27">
        <v>42</v>
      </c>
      <c r="D505" t="s" s="27">
        <v>1355</v>
      </c>
      <c r="E505" t="s" s="27">
        <v>687</v>
      </c>
      <c r="F505" t="s" s="27">
        <v>836</v>
      </c>
      <c r="G505" s="33">
        <v>4</v>
      </c>
      <c r="H505" s="34"/>
      <c r="I505" s="31"/>
      <c r="J505" s="32"/>
    </row>
    <row r="506" ht="16" customHeight="1">
      <c r="A506" t="s" s="26">
        <v>1356</v>
      </c>
      <c r="B506" t="s" s="27">
        <v>41</v>
      </c>
      <c r="C506" t="s" s="27">
        <v>42</v>
      </c>
      <c r="D506" t="s" s="27">
        <v>1357</v>
      </c>
      <c r="E506" t="s" s="27">
        <v>690</v>
      </c>
      <c r="F506" t="s" s="27">
        <v>836</v>
      </c>
      <c r="G506" s="33">
        <v>3</v>
      </c>
      <c r="H506" s="34"/>
      <c r="I506" s="31"/>
      <c r="J506" s="32"/>
    </row>
    <row r="507" ht="16" customHeight="1">
      <c r="A507" t="s" s="26">
        <v>1358</v>
      </c>
      <c r="B507" t="s" s="27">
        <v>41</v>
      </c>
      <c r="C507" t="s" s="27">
        <v>423</v>
      </c>
      <c r="D507" t="s" s="27">
        <v>1359</v>
      </c>
      <c r="E507" t="s" s="27">
        <v>693</v>
      </c>
      <c r="F507" t="s" s="27">
        <v>836</v>
      </c>
      <c r="G507" s="33">
        <v>3</v>
      </c>
      <c r="H507" s="34"/>
      <c r="I507" s="31"/>
      <c r="J507" s="32"/>
    </row>
    <row r="508" ht="16" customHeight="1">
      <c r="A508" t="s" s="26">
        <v>1360</v>
      </c>
      <c r="B508" t="s" s="27">
        <v>41</v>
      </c>
      <c r="C508" t="s" s="27">
        <v>57</v>
      </c>
      <c r="D508" t="s" s="27">
        <v>1361</v>
      </c>
      <c r="E508" t="s" s="27">
        <v>696</v>
      </c>
      <c r="F508" t="s" s="27">
        <v>836</v>
      </c>
      <c r="G508" s="33">
        <v>3</v>
      </c>
      <c r="H508" s="34"/>
      <c r="I508" s="31"/>
      <c r="J508" s="32"/>
    </row>
    <row r="509" ht="16" customHeight="1">
      <c r="A509" t="s" s="26">
        <v>1362</v>
      </c>
      <c r="B509" t="s" s="27">
        <v>41</v>
      </c>
      <c r="C509" t="s" s="27">
        <v>423</v>
      </c>
      <c r="D509" t="s" s="27">
        <v>1363</v>
      </c>
      <c r="E509" t="s" s="27">
        <v>699</v>
      </c>
      <c r="F509" t="s" s="27">
        <v>836</v>
      </c>
      <c r="G509" t="s" s="28">
        <v>1364</v>
      </c>
      <c r="H509" s="34"/>
      <c r="I509" s="31"/>
      <c r="J509" s="32"/>
    </row>
    <row r="510" ht="16" customHeight="1">
      <c r="A510" t="s" s="26">
        <v>1365</v>
      </c>
      <c r="B510" t="s" s="27">
        <v>41</v>
      </c>
      <c r="C510" t="s" s="27">
        <v>42</v>
      </c>
      <c r="D510" t="s" s="27">
        <v>1366</v>
      </c>
      <c r="E510" t="s" s="27">
        <v>699</v>
      </c>
      <c r="F510" t="s" s="27">
        <v>836</v>
      </c>
      <c r="G510" s="33">
        <v>2</v>
      </c>
      <c r="H510" s="34"/>
      <c r="I510" s="31"/>
      <c r="J510" s="32"/>
    </row>
    <row r="511" ht="16" customHeight="1">
      <c r="A511" t="s" s="26">
        <v>1367</v>
      </c>
      <c r="B511" t="s" s="27">
        <v>41</v>
      </c>
      <c r="C511" t="s" s="27">
        <v>42</v>
      </c>
      <c r="D511" t="s" s="27">
        <v>1368</v>
      </c>
      <c r="E511" t="s" s="27">
        <v>702</v>
      </c>
      <c r="F511" t="s" s="27">
        <v>836</v>
      </c>
      <c r="G511" s="33">
        <v>2</v>
      </c>
      <c r="H511" s="34"/>
      <c r="I511" s="31"/>
      <c r="J511" s="32"/>
    </row>
    <row r="512" ht="16" customHeight="1">
      <c r="A512" t="s" s="26">
        <v>1369</v>
      </c>
      <c r="B512" t="s" s="27">
        <v>41</v>
      </c>
      <c r="C512" t="s" s="27">
        <v>42</v>
      </c>
      <c r="D512" t="s" s="27">
        <v>1370</v>
      </c>
      <c r="E512" t="s" s="27">
        <v>705</v>
      </c>
      <c r="F512" t="s" s="27">
        <v>836</v>
      </c>
      <c r="G512" s="33">
        <v>2</v>
      </c>
      <c r="H512" s="34"/>
      <c r="I512" s="31"/>
      <c r="J512" s="32"/>
    </row>
    <row r="513" ht="16" customHeight="1">
      <c r="A513" t="s" s="26">
        <v>1371</v>
      </c>
      <c r="B513" t="s" s="27">
        <v>41</v>
      </c>
      <c r="C513" t="s" s="27">
        <v>423</v>
      </c>
      <c r="D513" t="s" s="27">
        <v>1372</v>
      </c>
      <c r="E513" t="s" s="27">
        <v>708</v>
      </c>
      <c r="F513" t="s" s="27">
        <v>836</v>
      </c>
      <c r="G513" s="33">
        <v>2</v>
      </c>
      <c r="H513" s="34"/>
      <c r="I513" s="31"/>
      <c r="J513" s="32"/>
    </row>
    <row r="514" ht="16" customHeight="1">
      <c r="A514" t="s" s="26">
        <v>1373</v>
      </c>
      <c r="B514" t="s" s="27">
        <v>41</v>
      </c>
      <c r="C514" s="35"/>
      <c r="D514" t="s" s="27">
        <v>1040</v>
      </c>
      <c r="E514" t="s" s="27">
        <v>711</v>
      </c>
      <c r="F514" t="s" s="27">
        <v>836</v>
      </c>
      <c r="G514" s="33">
        <v>4</v>
      </c>
      <c r="H514" s="34"/>
      <c r="I514" s="31"/>
      <c r="J514" s="32"/>
    </row>
    <row r="515" ht="16" customHeight="1">
      <c r="A515" t="s" s="26">
        <v>1374</v>
      </c>
      <c r="B515" t="s" s="27">
        <v>41</v>
      </c>
      <c r="C515" t="s" s="27">
        <v>42</v>
      </c>
      <c r="D515" t="s" s="27">
        <v>1375</v>
      </c>
      <c r="E515" t="s" s="27">
        <v>714</v>
      </c>
      <c r="F515" t="s" s="27">
        <v>836</v>
      </c>
      <c r="G515" s="33">
        <v>4</v>
      </c>
      <c r="H515" s="34"/>
      <c r="I515" s="31"/>
      <c r="J515" s="32"/>
    </row>
    <row r="516" ht="16" customHeight="1">
      <c r="A516" t="s" s="26">
        <v>1376</v>
      </c>
      <c r="B516" t="s" s="27">
        <v>41</v>
      </c>
      <c r="C516" t="s" s="27">
        <v>423</v>
      </c>
      <c r="D516" t="s" s="27">
        <v>1377</v>
      </c>
      <c r="E516" t="s" s="27">
        <v>717</v>
      </c>
      <c r="F516" t="s" s="27">
        <v>836</v>
      </c>
      <c r="G516" s="33">
        <v>4</v>
      </c>
      <c r="H516" s="34"/>
      <c r="I516" s="31"/>
      <c r="J516" s="32"/>
    </row>
    <row r="517" ht="16" customHeight="1">
      <c r="A517" t="s" s="26">
        <v>1378</v>
      </c>
      <c r="B517" t="s" s="27">
        <v>41</v>
      </c>
      <c r="C517" t="s" s="27">
        <v>42</v>
      </c>
      <c r="D517" t="s" s="27">
        <v>1379</v>
      </c>
      <c r="E517" t="s" s="27">
        <v>717</v>
      </c>
      <c r="F517" t="s" s="27">
        <v>836</v>
      </c>
      <c r="G517" s="33"/>
      <c r="H517" s="34"/>
      <c r="I517" s="31"/>
      <c r="J517" s="32"/>
    </row>
    <row r="518" ht="16" customHeight="1">
      <c r="A518" t="s" s="26">
        <v>1380</v>
      </c>
      <c r="B518" t="s" s="27">
        <v>41</v>
      </c>
      <c r="C518" t="s" s="27">
        <v>42</v>
      </c>
      <c r="D518" t="s" s="27">
        <v>1381</v>
      </c>
      <c r="E518" t="s" s="27">
        <v>720</v>
      </c>
      <c r="F518" t="s" s="27">
        <v>836</v>
      </c>
      <c r="G518" s="33"/>
      <c r="H518" s="34"/>
      <c r="I518" s="31"/>
      <c r="J518" s="32"/>
    </row>
    <row r="519" ht="16" customHeight="1">
      <c r="A519" t="s" s="26">
        <v>1382</v>
      </c>
      <c r="B519" t="s" s="27">
        <v>41</v>
      </c>
      <c r="C519" t="s" s="27">
        <v>73</v>
      </c>
      <c r="D519" t="s" s="27">
        <v>1383</v>
      </c>
      <c r="E519" t="s" s="27">
        <v>723</v>
      </c>
      <c r="F519" t="s" s="27">
        <v>836</v>
      </c>
      <c r="G519" s="33"/>
      <c r="H519" s="34"/>
      <c r="I519" s="31"/>
      <c r="J519" s="32"/>
    </row>
    <row r="520" ht="16" customHeight="1">
      <c r="A520" t="s" s="26">
        <v>1384</v>
      </c>
      <c r="B520" t="s" s="27">
        <v>41</v>
      </c>
      <c r="C520" t="s" s="27">
        <v>42</v>
      </c>
      <c r="D520" t="s" s="27">
        <v>1385</v>
      </c>
      <c r="E520" t="s" s="27">
        <v>725</v>
      </c>
      <c r="F520" t="s" s="27">
        <v>836</v>
      </c>
      <c r="G520" s="33"/>
      <c r="H520" s="34"/>
      <c r="I520" s="31"/>
      <c r="J520" s="32"/>
    </row>
    <row r="521" ht="16" customHeight="1">
      <c r="A521" t="s" s="26">
        <v>1386</v>
      </c>
      <c r="B521" t="s" s="27">
        <v>41</v>
      </c>
      <c r="C521" t="s" s="27">
        <v>423</v>
      </c>
      <c r="D521" t="s" s="27">
        <v>1387</v>
      </c>
      <c r="E521" t="s" s="27">
        <v>727</v>
      </c>
      <c r="F521" t="s" s="27">
        <v>836</v>
      </c>
      <c r="G521" s="33"/>
      <c r="H521" s="34"/>
      <c r="I521" s="31"/>
      <c r="J521" s="32"/>
    </row>
    <row r="522" ht="16" customHeight="1">
      <c r="A522" t="s" s="26">
        <v>1388</v>
      </c>
      <c r="B522" t="s" s="27">
        <v>41</v>
      </c>
      <c r="C522" t="s" s="27">
        <v>423</v>
      </c>
      <c r="D522" t="s" s="27">
        <v>1389</v>
      </c>
      <c r="E522" t="s" s="27">
        <v>730</v>
      </c>
      <c r="F522" t="s" s="27">
        <v>836</v>
      </c>
      <c r="G522" s="33"/>
      <c r="H522" s="34"/>
      <c r="I522" s="31"/>
      <c r="J522" s="32"/>
    </row>
    <row r="523" ht="16" customHeight="1">
      <c r="A523" t="s" s="26">
        <v>1390</v>
      </c>
      <c r="B523" t="s" s="27">
        <v>41</v>
      </c>
      <c r="C523" t="s" s="27">
        <v>449</v>
      </c>
      <c r="D523" t="s" s="27">
        <v>1391</v>
      </c>
      <c r="E523" t="s" s="27">
        <v>733</v>
      </c>
      <c r="F523" t="s" s="27">
        <v>836</v>
      </c>
      <c r="G523" s="33"/>
      <c r="H523" s="34"/>
      <c r="I523" s="31"/>
      <c r="J523" s="32"/>
    </row>
    <row r="524" ht="16" customHeight="1">
      <c r="A524" t="s" s="26">
        <v>1392</v>
      </c>
      <c r="B524" t="s" s="27">
        <v>41</v>
      </c>
      <c r="C524" t="s" s="27">
        <v>42</v>
      </c>
      <c r="D524" t="s" s="27">
        <v>1393</v>
      </c>
      <c r="E524" t="s" s="27">
        <v>733</v>
      </c>
      <c r="F524" t="s" s="27">
        <v>836</v>
      </c>
      <c r="G524" s="33"/>
      <c r="H524" s="34"/>
      <c r="I524" s="31"/>
      <c r="J524" s="32"/>
    </row>
    <row r="525" ht="16" customHeight="1">
      <c r="A525" t="s" s="26">
        <v>1394</v>
      </c>
      <c r="B525" t="s" s="27">
        <v>41</v>
      </c>
      <c r="C525" t="s" s="27">
        <v>42</v>
      </c>
      <c r="D525" t="s" s="27">
        <v>1395</v>
      </c>
      <c r="E525" t="s" s="27">
        <v>736</v>
      </c>
      <c r="F525" t="s" s="27">
        <v>836</v>
      </c>
      <c r="G525" s="33"/>
      <c r="H525" s="34"/>
      <c r="I525" s="31"/>
      <c r="J525" s="32"/>
    </row>
    <row r="526" ht="16" customHeight="1">
      <c r="A526" t="s" s="26">
        <v>1396</v>
      </c>
      <c r="B526" t="s" s="27">
        <v>41</v>
      </c>
      <c r="C526" t="s" s="27">
        <v>42</v>
      </c>
      <c r="D526" t="s" s="27">
        <v>1397</v>
      </c>
      <c r="E526" t="s" s="27">
        <v>739</v>
      </c>
      <c r="F526" t="s" s="27">
        <v>836</v>
      </c>
      <c r="G526" s="33"/>
      <c r="H526" s="34"/>
      <c r="I526" s="31"/>
      <c r="J526" s="32"/>
    </row>
    <row r="527" ht="24" customHeight="1">
      <c r="A527" t="s" s="26">
        <v>1398</v>
      </c>
      <c r="B527" t="s" s="27">
        <v>41</v>
      </c>
      <c r="C527" s="35"/>
      <c r="D527" t="s" s="27">
        <v>1399</v>
      </c>
      <c r="E527" t="s" s="27">
        <v>742</v>
      </c>
      <c r="F527" t="s" s="27">
        <v>836</v>
      </c>
      <c r="G527" s="33"/>
      <c r="H527" s="34"/>
      <c r="I527" s="31"/>
      <c r="J527" s="32"/>
    </row>
    <row r="528" ht="24" customHeight="1">
      <c r="A528" t="s" s="26">
        <v>1400</v>
      </c>
      <c r="B528" t="s" s="27">
        <v>41</v>
      </c>
      <c r="C528" t="s" s="27">
        <v>57</v>
      </c>
      <c r="D528" t="s" s="27">
        <v>1401</v>
      </c>
      <c r="E528" t="s" s="27">
        <v>745</v>
      </c>
      <c r="F528" t="s" s="27">
        <v>836</v>
      </c>
      <c r="G528" s="33"/>
      <c r="H528" s="34"/>
      <c r="I528" s="31"/>
      <c r="J528" s="32"/>
    </row>
    <row r="529" ht="16" customHeight="1">
      <c r="A529" t="s" s="26">
        <v>1402</v>
      </c>
      <c r="B529" t="s" s="27">
        <v>41</v>
      </c>
      <c r="C529" t="s" s="27">
        <v>73</v>
      </c>
      <c r="D529" t="s" s="27">
        <v>1403</v>
      </c>
      <c r="E529" t="s" s="27">
        <v>748</v>
      </c>
      <c r="F529" t="s" s="27">
        <v>836</v>
      </c>
      <c r="G529" s="33"/>
      <c r="H529" s="34"/>
      <c r="I529" s="31"/>
      <c r="J529" s="32"/>
    </row>
    <row r="530" ht="16" customHeight="1">
      <c r="A530" t="s" s="26">
        <v>1404</v>
      </c>
      <c r="B530" t="s" s="27">
        <v>41</v>
      </c>
      <c r="C530" t="s" s="27">
        <v>423</v>
      </c>
      <c r="D530" t="s" s="27">
        <v>1405</v>
      </c>
      <c r="E530" t="s" s="27">
        <v>751</v>
      </c>
      <c r="F530" t="s" s="27">
        <v>836</v>
      </c>
      <c r="G530" s="33"/>
      <c r="H530" s="34"/>
      <c r="I530" s="31"/>
      <c r="J530" s="32"/>
    </row>
    <row r="531" ht="16" customHeight="1">
      <c r="A531" t="s" s="26">
        <v>1406</v>
      </c>
      <c r="B531" t="s" s="27">
        <v>41</v>
      </c>
      <c r="C531" t="s" s="27">
        <v>423</v>
      </c>
      <c r="D531" t="s" s="27">
        <v>1407</v>
      </c>
      <c r="E531" t="s" s="27">
        <v>751</v>
      </c>
      <c r="F531" t="s" s="27">
        <v>836</v>
      </c>
      <c r="G531" s="33"/>
      <c r="H531" s="34"/>
      <c r="I531" s="31"/>
      <c r="J531" s="32"/>
    </row>
    <row r="532" ht="16" customHeight="1">
      <c r="A532" t="s" s="26">
        <v>1408</v>
      </c>
      <c r="B532" t="s" s="27">
        <v>41</v>
      </c>
      <c r="C532" t="s" s="27">
        <v>838</v>
      </c>
      <c r="D532" t="s" s="27">
        <v>1409</v>
      </c>
      <c r="E532" t="s" s="27">
        <v>754</v>
      </c>
      <c r="F532" t="s" s="27">
        <v>836</v>
      </c>
      <c r="G532" s="33"/>
      <c r="H532" s="34"/>
      <c r="I532" s="31"/>
      <c r="J532" s="32"/>
    </row>
    <row r="533" ht="16" customHeight="1">
      <c r="A533" t="s" s="26">
        <v>1410</v>
      </c>
      <c r="B533" t="s" s="27">
        <v>41</v>
      </c>
      <c r="C533" t="s" s="27">
        <v>42</v>
      </c>
      <c r="D533" t="s" s="27">
        <v>1411</v>
      </c>
      <c r="E533" t="s" s="27">
        <v>757</v>
      </c>
      <c r="F533" t="s" s="27">
        <v>836</v>
      </c>
      <c r="G533" s="33"/>
      <c r="H533" s="34"/>
      <c r="I533" s="31"/>
      <c r="J533" s="32"/>
    </row>
    <row r="534" ht="16" customHeight="1">
      <c r="A534" t="s" s="26">
        <v>1412</v>
      </c>
      <c r="B534" t="s" s="27">
        <v>41</v>
      </c>
      <c r="C534" t="s" s="27">
        <v>838</v>
      </c>
      <c r="D534" t="s" s="27">
        <v>1413</v>
      </c>
      <c r="E534" t="s" s="27">
        <v>760</v>
      </c>
      <c r="F534" t="s" s="27">
        <v>836</v>
      </c>
      <c r="G534" s="33"/>
      <c r="H534" s="34"/>
      <c r="I534" s="31"/>
      <c r="J534" s="32"/>
    </row>
    <row r="535" ht="16" customHeight="1">
      <c r="A535" t="s" s="26">
        <v>1414</v>
      </c>
      <c r="B535" t="s" s="27">
        <v>41</v>
      </c>
      <c r="C535" t="s" s="27">
        <v>42</v>
      </c>
      <c r="D535" t="s" s="27">
        <v>1415</v>
      </c>
      <c r="E535" t="s" s="27">
        <v>763</v>
      </c>
      <c r="F535" t="s" s="27">
        <v>836</v>
      </c>
      <c r="G535" s="33"/>
      <c r="H535" s="34"/>
      <c r="I535" s="31"/>
      <c r="J535" s="32"/>
    </row>
    <row r="536" ht="16" customHeight="1">
      <c r="A536" t="s" s="26">
        <v>1416</v>
      </c>
      <c r="B536" t="s" s="27">
        <v>41</v>
      </c>
      <c r="C536" t="s" s="27">
        <v>42</v>
      </c>
      <c r="D536" t="s" s="27">
        <v>1417</v>
      </c>
      <c r="E536" t="s" s="27">
        <v>766</v>
      </c>
      <c r="F536" t="s" s="27">
        <v>836</v>
      </c>
      <c r="G536" s="33"/>
      <c r="H536" s="34"/>
      <c r="I536" s="31"/>
      <c r="J536" s="32"/>
    </row>
    <row r="537" ht="16" customHeight="1">
      <c r="A537" t="s" s="26">
        <v>1418</v>
      </c>
      <c r="B537" t="s" s="27">
        <v>41</v>
      </c>
      <c r="C537" t="s" s="27">
        <v>42</v>
      </c>
      <c r="D537" t="s" s="27">
        <v>1419</v>
      </c>
      <c r="E537" t="s" s="27">
        <v>769</v>
      </c>
      <c r="F537" t="s" s="27">
        <v>836</v>
      </c>
      <c r="G537" s="33"/>
      <c r="H537" s="34"/>
      <c r="I537" s="31"/>
      <c r="J537" s="32"/>
    </row>
    <row r="538" ht="24" customHeight="1">
      <c r="A538" t="s" s="26">
        <v>1420</v>
      </c>
      <c r="B538" t="s" s="27">
        <v>41</v>
      </c>
      <c r="C538" t="s" s="27">
        <v>42</v>
      </c>
      <c r="D538" t="s" s="27">
        <v>1421</v>
      </c>
      <c r="E538" t="s" s="27">
        <v>769</v>
      </c>
      <c r="F538" t="s" s="27">
        <v>836</v>
      </c>
      <c r="G538" s="33"/>
      <c r="H538" s="34"/>
      <c r="I538" s="31"/>
      <c r="J538" s="32"/>
    </row>
    <row r="539" ht="16" customHeight="1">
      <c r="A539" t="s" s="26">
        <v>1422</v>
      </c>
      <c r="B539" t="s" s="27">
        <v>41</v>
      </c>
      <c r="C539" t="s" s="27">
        <v>42</v>
      </c>
      <c r="D539" t="s" s="27">
        <v>1423</v>
      </c>
      <c r="E539" t="s" s="27">
        <v>772</v>
      </c>
      <c r="F539" t="s" s="27">
        <v>836</v>
      </c>
      <c r="G539" s="33"/>
      <c r="H539" s="34"/>
      <c r="I539" s="31"/>
      <c r="J539" s="32"/>
    </row>
    <row r="540" ht="16" customHeight="1">
      <c r="A540" t="s" s="26">
        <v>1424</v>
      </c>
      <c r="B540" t="s" s="27">
        <v>41</v>
      </c>
      <c r="C540" t="s" s="27">
        <v>838</v>
      </c>
      <c r="D540" t="s" s="27">
        <v>1425</v>
      </c>
      <c r="E540" t="s" s="27">
        <v>775</v>
      </c>
      <c r="F540" t="s" s="27">
        <v>836</v>
      </c>
      <c r="G540" s="33"/>
      <c r="H540" s="34"/>
      <c r="I540" s="31"/>
      <c r="J540" s="32"/>
    </row>
    <row r="541" ht="16" customHeight="1">
      <c r="A541" t="s" s="26">
        <v>1426</v>
      </c>
      <c r="B541" t="s" s="27">
        <v>41</v>
      </c>
      <c r="C541" t="s" s="27">
        <v>838</v>
      </c>
      <c r="D541" t="s" s="27">
        <v>1427</v>
      </c>
      <c r="E541" t="s" s="27">
        <v>778</v>
      </c>
      <c r="F541" t="s" s="27">
        <v>836</v>
      </c>
      <c r="G541" s="33"/>
      <c r="H541" s="34"/>
      <c r="I541" s="31"/>
      <c r="J541" s="32"/>
    </row>
    <row r="542" ht="16" customHeight="1">
      <c r="A542" t="s" s="26">
        <v>1428</v>
      </c>
      <c r="B542" t="s" s="27">
        <v>41</v>
      </c>
      <c r="C542" t="s" s="27">
        <v>42</v>
      </c>
      <c r="D542" t="s" s="27">
        <v>1429</v>
      </c>
      <c r="E542" t="s" s="27">
        <v>781</v>
      </c>
      <c r="F542" t="s" s="27">
        <v>836</v>
      </c>
      <c r="G542" s="33"/>
      <c r="H542" s="34"/>
      <c r="I542" s="31"/>
      <c r="J542" s="32"/>
    </row>
    <row r="543" ht="16" customHeight="1">
      <c r="A543" t="s" s="26">
        <v>1430</v>
      </c>
      <c r="B543" t="s" s="27">
        <v>41</v>
      </c>
      <c r="C543" t="s" s="27">
        <v>42</v>
      </c>
      <c r="D543" t="s" s="27">
        <v>1431</v>
      </c>
      <c r="E543" t="s" s="27">
        <v>784</v>
      </c>
      <c r="F543" t="s" s="27">
        <v>836</v>
      </c>
      <c r="G543" s="33"/>
      <c r="H543" s="34"/>
      <c r="I543" s="31"/>
      <c r="J543" s="32"/>
    </row>
    <row r="544" ht="16" customHeight="1">
      <c r="A544" t="s" s="26">
        <v>1432</v>
      </c>
      <c r="B544" t="s" s="27">
        <v>41</v>
      </c>
      <c r="C544" t="s" s="27">
        <v>42</v>
      </c>
      <c r="D544" t="s" s="27">
        <v>1433</v>
      </c>
      <c r="E544" t="s" s="27">
        <v>787</v>
      </c>
      <c r="F544" t="s" s="27">
        <v>836</v>
      </c>
      <c r="G544" s="33"/>
      <c r="H544" s="34"/>
      <c r="I544" s="31"/>
      <c r="J544" s="32"/>
    </row>
    <row r="545" ht="16" customHeight="1">
      <c r="A545" t="s" s="26">
        <v>1434</v>
      </c>
      <c r="B545" t="s" s="27">
        <v>41</v>
      </c>
      <c r="C545" t="s" s="27">
        <v>42</v>
      </c>
      <c r="D545" t="s" s="27">
        <v>1435</v>
      </c>
      <c r="E545" t="s" s="27">
        <v>787</v>
      </c>
      <c r="F545" t="s" s="27">
        <v>836</v>
      </c>
      <c r="G545" s="33"/>
      <c r="H545" s="34"/>
      <c r="I545" s="31"/>
      <c r="J545" s="32"/>
    </row>
    <row r="546" ht="16" customHeight="1">
      <c r="A546" t="s" s="26">
        <v>1436</v>
      </c>
      <c r="B546" t="s" s="27">
        <v>41</v>
      </c>
      <c r="C546" t="s" s="27">
        <v>423</v>
      </c>
      <c r="D546" t="s" s="27">
        <v>1437</v>
      </c>
      <c r="E546" t="s" s="27">
        <v>790</v>
      </c>
      <c r="F546" t="s" s="27">
        <v>836</v>
      </c>
      <c r="G546" s="33"/>
      <c r="H546" s="34"/>
      <c r="I546" s="31"/>
      <c r="J546" s="32"/>
    </row>
    <row r="547" ht="16" customHeight="1">
      <c r="A547" t="s" s="26">
        <v>1438</v>
      </c>
      <c r="B547" t="s" s="27">
        <v>41</v>
      </c>
      <c r="C547" t="s" s="27">
        <v>423</v>
      </c>
      <c r="D547" t="s" s="27">
        <v>1439</v>
      </c>
      <c r="E547" t="s" s="27">
        <v>793</v>
      </c>
      <c r="F547" t="s" s="27">
        <v>836</v>
      </c>
      <c r="G547" s="33"/>
      <c r="H547" s="34"/>
      <c r="I547" s="31"/>
      <c r="J547" s="32"/>
    </row>
    <row r="548" ht="16" customHeight="1">
      <c r="A548" t="s" s="26">
        <v>1440</v>
      </c>
      <c r="B548" t="s" s="27">
        <v>41</v>
      </c>
      <c r="C548" t="s" s="27">
        <v>838</v>
      </c>
      <c r="D548" t="s" s="27">
        <v>1441</v>
      </c>
      <c r="E548" t="s" s="27">
        <v>796</v>
      </c>
      <c r="F548" t="s" s="27">
        <v>836</v>
      </c>
      <c r="G548" s="33"/>
      <c r="H548" s="34"/>
      <c r="I548" s="31"/>
      <c r="J548" s="32"/>
    </row>
    <row r="549" ht="16" customHeight="1">
      <c r="A549" t="s" s="26">
        <v>1442</v>
      </c>
      <c r="B549" t="s" s="27">
        <v>41</v>
      </c>
      <c r="C549" t="s" s="27">
        <v>838</v>
      </c>
      <c r="D549" t="s" s="27">
        <v>1443</v>
      </c>
      <c r="E549" t="s" s="27">
        <v>799</v>
      </c>
      <c r="F549" t="s" s="27">
        <v>836</v>
      </c>
      <c r="G549" s="33"/>
      <c r="H549" s="34"/>
      <c r="I549" s="31"/>
      <c r="J549" s="32"/>
    </row>
    <row r="550" ht="16" customHeight="1">
      <c r="A550" t="s" s="26">
        <v>1444</v>
      </c>
      <c r="B550" t="s" s="27">
        <v>41</v>
      </c>
      <c r="C550" t="s" s="27">
        <v>42</v>
      </c>
      <c r="D550" t="s" s="27">
        <v>1445</v>
      </c>
      <c r="E550" t="s" s="27">
        <v>802</v>
      </c>
      <c r="F550" t="s" s="27">
        <v>836</v>
      </c>
      <c r="G550" s="33"/>
      <c r="H550" s="34"/>
      <c r="I550" s="31"/>
      <c r="J550" s="32"/>
    </row>
    <row r="551" ht="16" customHeight="1">
      <c r="A551" t="s" s="26">
        <v>1446</v>
      </c>
      <c r="B551" t="s" s="27">
        <v>41</v>
      </c>
      <c r="C551" t="s" s="27">
        <v>42</v>
      </c>
      <c r="D551" t="s" s="27">
        <v>1447</v>
      </c>
      <c r="E551" t="s" s="27">
        <v>805</v>
      </c>
      <c r="F551" t="s" s="27">
        <v>836</v>
      </c>
      <c r="G551" s="33"/>
      <c r="H551" s="34"/>
      <c r="I551" s="31"/>
      <c r="J551" s="32"/>
    </row>
    <row r="552" ht="16" customHeight="1">
      <c r="A552" t="s" s="26">
        <v>1448</v>
      </c>
      <c r="B552" t="s" s="27">
        <v>41</v>
      </c>
      <c r="C552" t="s" s="27">
        <v>423</v>
      </c>
      <c r="D552" t="s" s="27">
        <v>1449</v>
      </c>
      <c r="E552" t="s" s="27">
        <v>808</v>
      </c>
      <c r="F552" t="s" s="27">
        <v>836</v>
      </c>
      <c r="G552" s="33"/>
      <c r="H552" s="34"/>
      <c r="I552" s="31"/>
      <c r="J552" s="32"/>
    </row>
    <row r="553" ht="16" customHeight="1">
      <c r="A553" t="s" s="26">
        <v>1450</v>
      </c>
      <c r="B553" t="s" s="27">
        <v>41</v>
      </c>
      <c r="C553" t="s" s="27">
        <v>42</v>
      </c>
      <c r="D553" t="s" s="27">
        <v>1451</v>
      </c>
      <c r="E553" t="s" s="27">
        <v>811</v>
      </c>
      <c r="F553" t="s" s="27">
        <v>836</v>
      </c>
      <c r="G553" s="33"/>
      <c r="H553" s="34"/>
      <c r="I553" s="31"/>
      <c r="J553" s="32"/>
    </row>
    <row r="554" ht="16" customHeight="1">
      <c r="A554" t="s" s="26">
        <v>1452</v>
      </c>
      <c r="B554" t="s" s="27">
        <v>41</v>
      </c>
      <c r="C554" t="s" s="27">
        <v>42</v>
      </c>
      <c r="D554" t="s" s="27">
        <v>1453</v>
      </c>
      <c r="E554" t="s" s="27">
        <v>814</v>
      </c>
      <c r="F554" t="s" s="27">
        <v>836</v>
      </c>
      <c r="G554" s="33"/>
      <c r="H554" s="34"/>
      <c r="I554" s="31"/>
      <c r="J554" s="32"/>
    </row>
    <row r="555" ht="16" customHeight="1">
      <c r="A555" t="s" s="26">
        <v>1454</v>
      </c>
      <c r="B555" t="s" s="27">
        <v>41</v>
      </c>
      <c r="C555" t="s" s="27">
        <v>42</v>
      </c>
      <c r="D555" t="s" s="27">
        <v>1455</v>
      </c>
      <c r="E555" t="s" s="27">
        <v>817</v>
      </c>
      <c r="F555" t="s" s="27">
        <v>836</v>
      </c>
      <c r="G555" s="33"/>
      <c r="H555" s="34"/>
      <c r="I555" s="31"/>
      <c r="J555" s="32"/>
    </row>
    <row r="556" ht="16" customHeight="1">
      <c r="A556" t="s" s="26">
        <v>1456</v>
      </c>
      <c r="B556" t="s" s="27">
        <v>41</v>
      </c>
      <c r="C556" t="s" s="27">
        <v>42</v>
      </c>
      <c r="D556" t="s" s="27">
        <v>1457</v>
      </c>
      <c r="E556" t="s" s="27">
        <v>820</v>
      </c>
      <c r="F556" t="s" s="27">
        <v>836</v>
      </c>
      <c r="G556" s="33"/>
      <c r="H556" s="34"/>
      <c r="I556" s="31"/>
      <c r="J556" s="32"/>
    </row>
    <row r="557" ht="16" customHeight="1">
      <c r="A557" t="s" s="26">
        <v>1458</v>
      </c>
      <c r="B557" t="s" s="27">
        <v>41</v>
      </c>
      <c r="C557" t="s" s="27">
        <v>449</v>
      </c>
      <c r="D557" t="s" s="27">
        <v>1459</v>
      </c>
      <c r="E557" t="s" s="27">
        <v>823</v>
      </c>
      <c r="F557" t="s" s="27">
        <v>836</v>
      </c>
      <c r="G557" s="33"/>
      <c r="H557" s="34"/>
      <c r="I557" s="31"/>
      <c r="J557" s="32"/>
    </row>
    <row r="558" ht="16" customHeight="1">
      <c r="A558" t="s" s="26">
        <v>1460</v>
      </c>
      <c r="B558" t="s" s="27">
        <v>41</v>
      </c>
      <c r="C558" t="s" s="27">
        <v>838</v>
      </c>
      <c r="D558" t="s" s="27">
        <v>1461</v>
      </c>
      <c r="E558" t="s" s="27">
        <v>823</v>
      </c>
      <c r="F558" t="s" s="27">
        <v>836</v>
      </c>
      <c r="G558" s="33"/>
      <c r="H558" s="34"/>
      <c r="I558" s="31"/>
      <c r="J558" s="32"/>
    </row>
    <row r="559" ht="16" customHeight="1">
      <c r="A559" t="s" s="26">
        <v>1462</v>
      </c>
      <c r="B559" t="s" s="27">
        <v>41</v>
      </c>
      <c r="C559" t="s" s="27">
        <v>423</v>
      </c>
      <c r="D559" t="s" s="27">
        <v>1463</v>
      </c>
      <c r="E559" t="s" s="27">
        <v>826</v>
      </c>
      <c r="F559" t="s" s="27">
        <v>836</v>
      </c>
      <c r="G559" s="33"/>
      <c r="H559" s="34"/>
      <c r="I559" s="31"/>
      <c r="J559" s="32"/>
    </row>
    <row r="560" ht="16" customHeight="1">
      <c r="A560" t="s" s="26">
        <v>1464</v>
      </c>
      <c r="B560" t="s" s="27">
        <v>41</v>
      </c>
      <c r="C560" t="s" s="27">
        <v>423</v>
      </c>
      <c r="D560" t="s" s="27">
        <v>1465</v>
      </c>
      <c r="E560" t="s" s="27">
        <v>829</v>
      </c>
      <c r="F560" t="s" s="27">
        <v>836</v>
      </c>
      <c r="G560" s="33"/>
      <c r="H560" s="34"/>
      <c r="I560" s="31"/>
      <c r="J560" s="32"/>
    </row>
    <row r="561" ht="16" customHeight="1">
      <c r="A561" t="s" s="26">
        <v>1466</v>
      </c>
      <c r="B561" t="s" s="27">
        <v>41</v>
      </c>
      <c r="C561" t="s" s="27">
        <v>423</v>
      </c>
      <c r="D561" t="s" s="27">
        <v>1467</v>
      </c>
      <c r="E561" t="s" s="27">
        <v>832</v>
      </c>
      <c r="F561" t="s" s="27">
        <v>836</v>
      </c>
      <c r="G561" s="33"/>
      <c r="H561" s="34"/>
      <c r="I561" s="31"/>
      <c r="J561" s="32"/>
    </row>
    <row r="562" ht="16" customHeight="1">
      <c r="A562" t="s" s="26">
        <v>1468</v>
      </c>
      <c r="B562" t="s" s="27">
        <v>41</v>
      </c>
      <c r="C562" t="s" s="27">
        <v>838</v>
      </c>
      <c r="D562" t="s" s="27">
        <v>1469</v>
      </c>
      <c r="E562" t="s" s="27">
        <v>1470</v>
      </c>
      <c r="F562" t="s" s="27">
        <v>1471</v>
      </c>
      <c r="G562" s="33"/>
      <c r="H562" s="34"/>
      <c r="I562" s="31"/>
      <c r="J562" s="32"/>
    </row>
    <row r="563" ht="16" customHeight="1">
      <c r="A563" t="s" s="26">
        <v>1472</v>
      </c>
      <c r="B563" t="s" s="27">
        <v>41</v>
      </c>
      <c r="C563" t="s" s="27">
        <v>838</v>
      </c>
      <c r="D563" t="s" s="27">
        <v>1473</v>
      </c>
      <c r="E563" t="s" s="27">
        <v>835</v>
      </c>
      <c r="F563" t="s" s="27">
        <v>1471</v>
      </c>
      <c r="G563" s="33"/>
      <c r="H563" s="34"/>
      <c r="I563" s="31"/>
      <c r="J563" s="32"/>
    </row>
    <row r="564" ht="16" customHeight="1">
      <c r="A564" t="s" s="26">
        <v>1474</v>
      </c>
      <c r="B564" t="s" s="27">
        <v>41</v>
      </c>
      <c r="C564" t="s" s="27">
        <v>838</v>
      </c>
      <c r="D564" t="s" s="27">
        <v>1475</v>
      </c>
      <c r="E564" t="s" s="27">
        <v>51</v>
      </c>
      <c r="F564" t="s" s="27">
        <v>1471</v>
      </c>
      <c r="G564" s="33"/>
      <c r="H564" s="34"/>
      <c r="I564" s="31"/>
      <c r="J564" s="32"/>
    </row>
    <row r="565" ht="16" customHeight="1">
      <c r="A565" t="s" s="26">
        <v>1476</v>
      </c>
      <c r="B565" t="s" s="27">
        <v>41</v>
      </c>
      <c r="C565" t="s" s="27">
        <v>57</v>
      </c>
      <c r="D565" t="s" s="27">
        <v>1477</v>
      </c>
      <c r="E565" t="s" s="27">
        <v>51</v>
      </c>
      <c r="F565" t="s" s="27">
        <v>1471</v>
      </c>
      <c r="G565" s="33"/>
      <c r="H565" s="34"/>
      <c r="I565" s="31"/>
      <c r="J565" s="32"/>
    </row>
    <row r="566" ht="16" customHeight="1">
      <c r="A566" t="s" s="26">
        <v>1478</v>
      </c>
      <c r="B566" t="s" s="27">
        <v>41</v>
      </c>
      <c r="C566" t="s" s="27">
        <v>42</v>
      </c>
      <c r="D566" t="s" s="27">
        <v>1479</v>
      </c>
      <c r="E566" t="s" s="27">
        <v>55</v>
      </c>
      <c r="F566" t="s" s="27">
        <v>1471</v>
      </c>
      <c r="G566" s="33"/>
      <c r="H566" s="34"/>
      <c r="I566" s="31"/>
      <c r="J566" s="32"/>
    </row>
    <row r="567" ht="16" customHeight="1">
      <c r="A567" t="s" s="26">
        <v>1480</v>
      </c>
      <c r="B567" t="s" s="27">
        <v>41</v>
      </c>
      <c r="C567" t="s" s="27">
        <v>838</v>
      </c>
      <c r="D567" t="s" s="27">
        <v>1481</v>
      </c>
      <c r="E567" t="s" s="27">
        <v>55</v>
      </c>
      <c r="F567" t="s" s="27">
        <v>1471</v>
      </c>
      <c r="G567" s="33"/>
      <c r="H567" s="34"/>
      <c r="I567" s="31"/>
      <c r="J567" s="32"/>
    </row>
    <row r="568" ht="16" customHeight="1">
      <c r="A568" t="s" s="26">
        <v>1482</v>
      </c>
      <c r="B568" t="s" s="27">
        <v>41</v>
      </c>
      <c r="C568" t="s" s="27">
        <v>838</v>
      </c>
      <c r="D568" t="s" s="27">
        <v>1483</v>
      </c>
      <c r="E568" t="s" s="27">
        <v>846</v>
      </c>
      <c r="F568" t="s" s="27">
        <v>1471</v>
      </c>
      <c r="G568" s="33"/>
      <c r="H568" s="34"/>
      <c r="I568" s="31"/>
      <c r="J568" s="32"/>
    </row>
    <row r="569" ht="16" customHeight="1">
      <c r="A569" t="s" s="26">
        <v>1484</v>
      </c>
      <c r="B569" t="s" s="27">
        <v>41</v>
      </c>
      <c r="C569" t="s" s="27">
        <v>42</v>
      </c>
      <c r="D569" t="s" s="27">
        <v>1485</v>
      </c>
      <c r="E569" t="s" s="27">
        <v>59</v>
      </c>
      <c r="F569" t="s" s="27">
        <v>1471</v>
      </c>
      <c r="G569" s="33"/>
      <c r="H569" s="34"/>
      <c r="I569" s="31"/>
      <c r="J569" s="32"/>
    </row>
    <row r="570" ht="16" customHeight="1">
      <c r="A570" t="s" s="26">
        <v>1486</v>
      </c>
      <c r="B570" t="s" s="27">
        <v>41</v>
      </c>
      <c r="C570" t="s" s="27">
        <v>42</v>
      </c>
      <c r="D570" t="s" s="27">
        <v>1487</v>
      </c>
      <c r="E570" t="s" s="27">
        <v>59</v>
      </c>
      <c r="F570" t="s" s="27">
        <v>1471</v>
      </c>
      <c r="G570" s="33"/>
      <c r="H570" s="34"/>
      <c r="I570" s="31"/>
      <c r="J570" s="32"/>
    </row>
    <row r="571" ht="24" customHeight="1">
      <c r="A571" t="s" s="26">
        <v>1488</v>
      </c>
      <c r="B571" t="s" s="27">
        <v>41</v>
      </c>
      <c r="C571" t="s" s="27">
        <v>838</v>
      </c>
      <c r="D571" t="s" s="27">
        <v>1489</v>
      </c>
      <c r="E571" t="s" s="27">
        <v>63</v>
      </c>
      <c r="F571" t="s" s="27">
        <v>1471</v>
      </c>
      <c r="G571" s="33"/>
      <c r="H571" s="34"/>
      <c r="I571" s="31"/>
      <c r="J571" s="32"/>
    </row>
    <row r="572" ht="16" customHeight="1">
      <c r="A572" t="s" s="26">
        <v>1490</v>
      </c>
      <c r="B572" t="s" s="27">
        <v>41</v>
      </c>
      <c r="C572" t="s" s="27">
        <v>838</v>
      </c>
      <c r="D572" t="s" s="27">
        <v>1491</v>
      </c>
      <c r="E572" t="s" s="27">
        <v>63</v>
      </c>
      <c r="F572" t="s" s="27">
        <v>1471</v>
      </c>
      <c r="G572" s="33"/>
      <c r="H572" s="34"/>
      <c r="I572" s="31"/>
      <c r="J572" s="32"/>
    </row>
    <row r="573" ht="16" customHeight="1">
      <c r="A573" t="s" s="26">
        <v>1492</v>
      </c>
      <c r="B573" t="s" s="27">
        <v>41</v>
      </c>
      <c r="C573" t="s" s="27">
        <v>423</v>
      </c>
      <c r="D573" t="s" s="27">
        <v>1493</v>
      </c>
      <c r="E573" t="s" s="27">
        <v>66</v>
      </c>
      <c r="F573" t="s" s="27">
        <v>1471</v>
      </c>
      <c r="G573" s="33"/>
      <c r="H573" s="34"/>
      <c r="I573" s="31"/>
      <c r="J573" s="32"/>
    </row>
    <row r="574" ht="16" customHeight="1">
      <c r="A574" t="s" s="26">
        <v>1494</v>
      </c>
      <c r="B574" t="s" s="27">
        <v>41</v>
      </c>
      <c r="C574" t="s" s="27">
        <v>42</v>
      </c>
      <c r="D574" t="s" s="27">
        <v>1495</v>
      </c>
      <c r="E574" t="s" s="27">
        <v>857</v>
      </c>
      <c r="F574" t="s" s="27">
        <v>1471</v>
      </c>
      <c r="G574" s="33"/>
      <c r="H574" s="34"/>
      <c r="I574" s="31"/>
      <c r="J574" s="32"/>
    </row>
    <row r="575" ht="16" customHeight="1">
      <c r="A575" t="s" s="26">
        <v>1496</v>
      </c>
      <c r="B575" t="s" s="27">
        <v>41</v>
      </c>
      <c r="C575" t="s" s="27">
        <v>449</v>
      </c>
      <c r="D575" t="s" s="27">
        <v>1497</v>
      </c>
      <c r="E575" t="s" s="27">
        <v>860</v>
      </c>
      <c r="F575" t="s" s="27">
        <v>1471</v>
      </c>
      <c r="G575" s="33"/>
      <c r="H575" s="34"/>
      <c r="I575" s="31"/>
      <c r="J575" s="32"/>
    </row>
    <row r="576" ht="16" customHeight="1">
      <c r="A576" t="s" s="26">
        <v>1498</v>
      </c>
      <c r="B576" t="s" s="27">
        <v>41</v>
      </c>
      <c r="C576" t="s" s="27">
        <v>57</v>
      </c>
      <c r="D576" t="s" s="27">
        <v>1499</v>
      </c>
      <c r="E576" t="s" s="27">
        <v>863</v>
      </c>
      <c r="F576" t="s" s="27">
        <v>1471</v>
      </c>
      <c r="G576" s="33"/>
      <c r="H576" s="34"/>
      <c r="I576" s="31"/>
      <c r="J576" s="32"/>
    </row>
    <row r="577" ht="16" customHeight="1">
      <c r="A577" t="s" s="26">
        <v>1500</v>
      </c>
      <c r="B577" t="s" s="27">
        <v>41</v>
      </c>
      <c r="C577" t="s" s="27">
        <v>42</v>
      </c>
      <c r="D577" t="s" s="27">
        <v>1501</v>
      </c>
      <c r="E577" t="s" s="27">
        <v>70</v>
      </c>
      <c r="F577" t="s" s="27">
        <v>1471</v>
      </c>
      <c r="G577" s="33"/>
      <c r="H577" s="34"/>
      <c r="I577" s="31"/>
      <c r="J577" s="32"/>
    </row>
    <row r="578" ht="16" customHeight="1">
      <c r="A578" t="s" s="26">
        <v>1502</v>
      </c>
      <c r="B578" t="s" s="27">
        <v>41</v>
      </c>
      <c r="C578" t="s" s="27">
        <v>838</v>
      </c>
      <c r="D578" t="s" s="27">
        <v>1503</v>
      </c>
      <c r="E578" t="s" s="27">
        <v>70</v>
      </c>
      <c r="F578" t="s" s="27">
        <v>1471</v>
      </c>
      <c r="G578" s="33"/>
      <c r="H578" s="34"/>
      <c r="I578" s="31"/>
      <c r="J578" s="32"/>
    </row>
    <row r="579" ht="16" customHeight="1">
      <c r="A579" t="s" s="26">
        <v>1504</v>
      </c>
      <c r="B579" t="s" s="27">
        <v>41</v>
      </c>
      <c r="C579" t="s" s="27">
        <v>42</v>
      </c>
      <c r="D579" t="s" s="27">
        <v>1505</v>
      </c>
      <c r="E579" t="s" s="27">
        <v>75</v>
      </c>
      <c r="F579" t="s" s="27">
        <v>1471</v>
      </c>
      <c r="G579" s="33"/>
      <c r="H579" s="34"/>
      <c r="I579" s="31"/>
      <c r="J579" s="32"/>
    </row>
    <row r="580" ht="16" customHeight="1">
      <c r="A580" t="s" s="26">
        <v>1506</v>
      </c>
      <c r="B580" t="s" s="27">
        <v>41</v>
      </c>
      <c r="C580" t="s" s="27">
        <v>838</v>
      </c>
      <c r="D580" t="s" s="27">
        <v>1507</v>
      </c>
      <c r="E580" t="s" s="27">
        <v>75</v>
      </c>
      <c r="F580" t="s" s="27">
        <v>1471</v>
      </c>
      <c r="G580" s="33"/>
      <c r="H580" s="34"/>
      <c r="I580" s="31"/>
      <c r="J580" s="32"/>
    </row>
    <row r="581" ht="16" customHeight="1">
      <c r="A581" t="s" s="26">
        <v>1508</v>
      </c>
      <c r="B581" t="s" s="27">
        <v>41</v>
      </c>
      <c r="C581" t="s" s="27">
        <v>838</v>
      </c>
      <c r="D581" t="s" s="27">
        <v>1509</v>
      </c>
      <c r="E581" t="s" s="27">
        <v>78</v>
      </c>
      <c r="F581" t="s" s="27">
        <v>1471</v>
      </c>
      <c r="G581" s="33"/>
      <c r="H581" s="34"/>
      <c r="I581" s="31"/>
      <c r="J581" s="32"/>
    </row>
    <row r="582" ht="16" customHeight="1">
      <c r="A582" t="s" s="26">
        <v>1510</v>
      </c>
      <c r="B582" t="s" s="27">
        <v>41</v>
      </c>
      <c r="C582" t="s" s="27">
        <v>42</v>
      </c>
      <c r="D582" t="s" s="27">
        <v>1511</v>
      </c>
      <c r="E582" t="s" s="27">
        <v>81</v>
      </c>
      <c r="F582" t="s" s="27">
        <v>1471</v>
      </c>
      <c r="G582" s="33"/>
      <c r="H582" s="34"/>
      <c r="I582" s="31"/>
      <c r="J582" s="32"/>
    </row>
    <row r="583" ht="16" customHeight="1">
      <c r="A583" t="s" s="26">
        <v>1512</v>
      </c>
      <c r="B583" t="s" s="27">
        <v>41</v>
      </c>
      <c r="C583" t="s" s="27">
        <v>838</v>
      </c>
      <c r="D583" t="s" s="27">
        <v>1513</v>
      </c>
      <c r="E583" t="s" s="27">
        <v>84</v>
      </c>
      <c r="F583" t="s" s="27">
        <v>1471</v>
      </c>
      <c r="G583" s="33"/>
      <c r="H583" s="34"/>
      <c r="I583" s="31"/>
      <c r="J583" s="32"/>
    </row>
    <row r="584" ht="16" customHeight="1">
      <c r="A584" t="s" s="26">
        <v>1514</v>
      </c>
      <c r="B584" t="s" s="27">
        <v>41</v>
      </c>
      <c r="C584" t="s" s="27">
        <v>838</v>
      </c>
      <c r="D584" t="s" s="27">
        <v>1515</v>
      </c>
      <c r="E584" t="s" s="27">
        <v>87</v>
      </c>
      <c r="F584" t="s" s="27">
        <v>1471</v>
      </c>
      <c r="G584" s="33"/>
      <c r="H584" s="34"/>
      <c r="I584" s="31"/>
      <c r="J584" s="32"/>
    </row>
    <row r="585" ht="16" customHeight="1">
      <c r="A585" t="s" s="26">
        <v>1516</v>
      </c>
      <c r="B585" t="s" s="27">
        <v>41</v>
      </c>
      <c r="C585" t="s" s="27">
        <v>42</v>
      </c>
      <c r="D585" t="s" s="27">
        <v>1517</v>
      </c>
      <c r="E585" t="s" s="27">
        <v>91</v>
      </c>
      <c r="F585" t="s" s="27">
        <v>1471</v>
      </c>
      <c r="G585" s="33"/>
      <c r="H585" s="34"/>
      <c r="I585" s="31"/>
      <c r="J585" s="32"/>
    </row>
    <row r="586" ht="16" customHeight="1">
      <c r="A586" t="s" s="26">
        <v>1518</v>
      </c>
      <c r="B586" t="s" s="27">
        <v>41</v>
      </c>
      <c r="C586" t="s" s="27">
        <v>838</v>
      </c>
      <c r="D586" t="s" s="27">
        <v>1519</v>
      </c>
      <c r="E586" t="s" s="27">
        <v>91</v>
      </c>
      <c r="F586" t="s" s="27">
        <v>1471</v>
      </c>
      <c r="G586" s="33"/>
      <c r="H586" s="34"/>
      <c r="I586" s="31"/>
      <c r="J586" s="32"/>
    </row>
    <row r="587" ht="16" customHeight="1">
      <c r="A587" t="s" s="26">
        <v>1520</v>
      </c>
      <c r="B587" t="s" s="27">
        <v>41</v>
      </c>
      <c r="C587" t="s" s="27">
        <v>423</v>
      </c>
      <c r="D587" t="s" s="27">
        <v>1521</v>
      </c>
      <c r="E587" t="s" s="27">
        <v>94</v>
      </c>
      <c r="F587" t="s" s="27">
        <v>1471</v>
      </c>
      <c r="G587" s="33"/>
      <c r="H587" s="34"/>
      <c r="I587" s="31"/>
      <c r="J587" s="32"/>
    </row>
    <row r="588" ht="16" customHeight="1">
      <c r="A588" t="s" s="26">
        <v>1522</v>
      </c>
      <c r="B588" t="s" s="27">
        <v>41</v>
      </c>
      <c r="C588" t="s" s="27">
        <v>838</v>
      </c>
      <c r="D588" t="s" s="27">
        <v>1523</v>
      </c>
      <c r="E588" t="s" s="27">
        <v>94</v>
      </c>
      <c r="F588" t="s" s="27">
        <v>1471</v>
      </c>
      <c r="G588" s="33"/>
      <c r="H588" s="34"/>
      <c r="I588" s="31"/>
      <c r="J588" s="32"/>
    </row>
    <row r="589" ht="16" customHeight="1">
      <c r="A589" t="s" s="26">
        <v>1524</v>
      </c>
      <c r="B589" t="s" s="27">
        <v>41</v>
      </c>
      <c r="C589" t="s" s="27">
        <v>57</v>
      </c>
      <c r="D589" t="s" s="27">
        <v>1525</v>
      </c>
      <c r="E589" t="s" s="27">
        <v>97</v>
      </c>
      <c r="F589" t="s" s="27">
        <v>1471</v>
      </c>
      <c r="G589" s="33"/>
      <c r="H589" s="34"/>
      <c r="I589" s="31"/>
      <c r="J589" s="32"/>
    </row>
    <row r="590" ht="16" customHeight="1">
      <c r="A590" t="s" s="26">
        <v>1526</v>
      </c>
      <c r="B590" t="s" s="27">
        <v>41</v>
      </c>
      <c r="C590" t="s" s="27">
        <v>838</v>
      </c>
      <c r="D590" t="s" s="27">
        <v>1527</v>
      </c>
      <c r="E590" t="s" s="27">
        <v>100</v>
      </c>
      <c r="F590" t="s" s="27">
        <v>1471</v>
      </c>
      <c r="G590" s="33"/>
      <c r="H590" s="34"/>
      <c r="I590" s="31"/>
      <c r="J590" s="32"/>
    </row>
    <row r="591" ht="16" customHeight="1">
      <c r="A591" t="s" s="26">
        <v>1528</v>
      </c>
      <c r="B591" t="s" s="27">
        <v>41</v>
      </c>
      <c r="C591" t="s" s="27">
        <v>838</v>
      </c>
      <c r="D591" t="s" s="27">
        <v>1529</v>
      </c>
      <c r="E591" t="s" s="27">
        <v>103</v>
      </c>
      <c r="F591" t="s" s="27">
        <v>1471</v>
      </c>
      <c r="G591" s="33"/>
      <c r="H591" s="34"/>
      <c r="I591" s="31"/>
      <c r="J591" s="32"/>
    </row>
    <row r="592" ht="16" customHeight="1">
      <c r="A592" t="s" s="26">
        <v>1530</v>
      </c>
      <c r="B592" t="s" s="27">
        <v>41</v>
      </c>
      <c r="C592" t="s" s="27">
        <v>838</v>
      </c>
      <c r="D592" t="s" s="27">
        <v>1531</v>
      </c>
      <c r="E592" t="s" s="27">
        <v>106</v>
      </c>
      <c r="F592" t="s" s="27">
        <v>1471</v>
      </c>
      <c r="G592" s="33"/>
      <c r="H592" s="34"/>
      <c r="I592" s="31"/>
      <c r="J592" s="32"/>
    </row>
    <row r="593" ht="16" customHeight="1">
      <c r="A593" t="s" s="26">
        <v>1532</v>
      </c>
      <c r="B593" t="s" s="27">
        <v>41</v>
      </c>
      <c r="C593" t="s" s="27">
        <v>42</v>
      </c>
      <c r="D593" t="s" s="27">
        <v>1533</v>
      </c>
      <c r="E593" t="s" s="27">
        <v>109</v>
      </c>
      <c r="F593" t="s" s="27">
        <v>1471</v>
      </c>
      <c r="G593" s="33"/>
      <c r="H593" s="34"/>
      <c r="I593" s="31"/>
      <c r="J593" s="32"/>
    </row>
    <row r="594" ht="16" customHeight="1">
      <c r="A594" t="s" s="26">
        <v>1534</v>
      </c>
      <c r="B594" t="s" s="27">
        <v>41</v>
      </c>
      <c r="C594" t="s" s="27">
        <v>838</v>
      </c>
      <c r="D594" t="s" s="27">
        <v>1535</v>
      </c>
      <c r="E594" t="s" s="27">
        <v>109</v>
      </c>
      <c r="F594" t="s" s="27">
        <v>1471</v>
      </c>
      <c r="G594" s="33"/>
      <c r="H594" s="34"/>
      <c r="I594" s="31"/>
      <c r="J594" s="32"/>
    </row>
    <row r="595" ht="16" customHeight="1">
      <c r="A595" t="s" s="26">
        <v>1536</v>
      </c>
      <c r="B595" t="s" s="27">
        <v>41</v>
      </c>
      <c r="C595" t="s" s="27">
        <v>838</v>
      </c>
      <c r="D595" t="s" s="27">
        <v>1537</v>
      </c>
      <c r="E595" t="s" s="27">
        <v>113</v>
      </c>
      <c r="F595" t="s" s="27">
        <v>1471</v>
      </c>
      <c r="G595" s="33"/>
      <c r="H595" s="34"/>
      <c r="I595" s="31"/>
      <c r="J595" s="32"/>
    </row>
    <row r="596" ht="16" customHeight="1">
      <c r="A596" t="s" s="26">
        <v>1538</v>
      </c>
      <c r="B596" t="s" s="27">
        <v>41</v>
      </c>
      <c r="C596" t="s" s="27">
        <v>42</v>
      </c>
      <c r="D596" t="s" s="27">
        <v>1539</v>
      </c>
      <c r="E596" t="s" s="27">
        <v>113</v>
      </c>
      <c r="F596" t="s" s="27">
        <v>1471</v>
      </c>
      <c r="G596" s="33"/>
      <c r="H596" s="34"/>
      <c r="I596" s="31"/>
      <c r="J596" s="32"/>
    </row>
    <row r="597" ht="16" customHeight="1">
      <c r="A597" t="s" s="26">
        <v>1540</v>
      </c>
      <c r="B597" t="s" s="27">
        <v>41</v>
      </c>
      <c r="C597" t="s" s="27">
        <v>449</v>
      </c>
      <c r="D597" t="s" s="27">
        <v>1541</v>
      </c>
      <c r="E597" t="s" s="27">
        <v>116</v>
      </c>
      <c r="F597" t="s" s="27">
        <v>1471</v>
      </c>
      <c r="G597" s="33"/>
      <c r="H597" s="34"/>
      <c r="I597" s="31"/>
      <c r="J597" s="32"/>
    </row>
    <row r="598" ht="16" customHeight="1">
      <c r="A598" t="s" s="26">
        <v>1542</v>
      </c>
      <c r="B598" t="s" s="27">
        <v>41</v>
      </c>
      <c r="C598" t="s" s="27">
        <v>838</v>
      </c>
      <c r="D598" t="s" s="27">
        <v>1543</v>
      </c>
      <c r="E598" t="s" s="27">
        <v>122</v>
      </c>
      <c r="F598" t="s" s="27">
        <v>1471</v>
      </c>
      <c r="G598" s="33"/>
      <c r="H598" s="34"/>
      <c r="I598" s="31"/>
      <c r="J598" s="32"/>
    </row>
    <row r="599" ht="16" customHeight="1">
      <c r="A599" t="s" s="26">
        <v>1544</v>
      </c>
      <c r="B599" t="s" s="27">
        <v>41</v>
      </c>
      <c r="C599" t="s" s="27">
        <v>423</v>
      </c>
      <c r="D599" t="s" s="27">
        <v>1545</v>
      </c>
      <c r="E599" t="s" s="27">
        <v>125</v>
      </c>
      <c r="F599" t="s" s="27">
        <v>1471</v>
      </c>
      <c r="G599" s="33"/>
      <c r="H599" s="34"/>
      <c r="I599" s="31"/>
      <c r="J599" s="32"/>
    </row>
    <row r="600" ht="16" customHeight="1">
      <c r="A600" t="s" s="26">
        <v>1546</v>
      </c>
      <c r="B600" t="s" s="27">
        <v>41</v>
      </c>
      <c r="C600" t="s" s="27">
        <v>838</v>
      </c>
      <c r="D600" t="s" s="27">
        <v>1547</v>
      </c>
      <c r="E600" t="s" s="27">
        <v>906</v>
      </c>
      <c r="F600" t="s" s="27">
        <v>1471</v>
      </c>
      <c r="G600" s="33"/>
      <c r="H600" s="34"/>
      <c r="I600" s="31"/>
      <c r="J600" s="32"/>
    </row>
    <row r="601" ht="16" customHeight="1">
      <c r="A601" t="s" s="26">
        <v>1548</v>
      </c>
      <c r="B601" t="s" s="27">
        <v>41</v>
      </c>
      <c r="C601" t="s" s="27">
        <v>838</v>
      </c>
      <c r="D601" t="s" s="27">
        <v>1549</v>
      </c>
      <c r="E601" t="s" s="27">
        <v>128</v>
      </c>
      <c r="F601" t="s" s="27">
        <v>1471</v>
      </c>
      <c r="G601" s="33"/>
      <c r="H601" s="34"/>
      <c r="I601" s="31"/>
      <c r="J601" s="32"/>
    </row>
    <row r="602" ht="16" customHeight="1">
      <c r="A602" t="s" s="26">
        <v>1550</v>
      </c>
      <c r="B602" t="s" s="27">
        <v>41</v>
      </c>
      <c r="C602" t="s" s="27">
        <v>423</v>
      </c>
      <c r="D602" t="s" s="27">
        <v>1551</v>
      </c>
      <c r="E602" t="s" s="27">
        <v>128</v>
      </c>
      <c r="F602" t="s" s="27">
        <v>1471</v>
      </c>
      <c r="G602" s="33"/>
      <c r="H602" s="34"/>
      <c r="I602" s="31"/>
      <c r="J602" s="32"/>
    </row>
    <row r="603" ht="16" customHeight="1">
      <c r="A603" t="s" s="26">
        <v>1552</v>
      </c>
      <c r="B603" t="s" s="27">
        <v>41</v>
      </c>
      <c r="C603" t="s" s="27">
        <v>42</v>
      </c>
      <c r="D603" t="s" s="27">
        <v>1553</v>
      </c>
      <c r="E603" t="s" s="27">
        <v>911</v>
      </c>
      <c r="F603" t="s" s="27">
        <v>1471</v>
      </c>
      <c r="G603" s="33"/>
      <c r="H603" s="34"/>
      <c r="I603" s="31"/>
      <c r="J603" s="32"/>
    </row>
    <row r="604" ht="16" customHeight="1">
      <c r="A604" t="s" s="26">
        <v>1554</v>
      </c>
      <c r="B604" t="s" s="27">
        <v>41</v>
      </c>
      <c r="C604" t="s" s="27">
        <v>57</v>
      </c>
      <c r="D604" t="s" s="27">
        <v>1555</v>
      </c>
      <c r="E604" t="s" s="27">
        <v>914</v>
      </c>
      <c r="F604" t="s" s="27">
        <v>1471</v>
      </c>
      <c r="G604" s="33"/>
      <c r="H604" s="34"/>
      <c r="I604" s="31"/>
      <c r="J604" s="32"/>
    </row>
    <row r="605" ht="16" customHeight="1">
      <c r="A605" t="s" s="26">
        <v>1556</v>
      </c>
      <c r="B605" t="s" s="27">
        <v>41</v>
      </c>
      <c r="C605" t="s" s="27">
        <v>449</v>
      </c>
      <c r="D605" t="s" s="27">
        <v>1557</v>
      </c>
      <c r="E605" t="s" s="27">
        <v>917</v>
      </c>
      <c r="F605" t="s" s="27">
        <v>1471</v>
      </c>
      <c r="G605" s="33"/>
      <c r="H605" s="34"/>
      <c r="I605" s="31"/>
      <c r="J605" s="32"/>
    </row>
    <row r="606" ht="16" customHeight="1">
      <c r="A606" t="s" s="26">
        <v>1558</v>
      </c>
      <c r="B606" t="s" s="27">
        <v>41</v>
      </c>
      <c r="C606" t="s" s="27">
        <v>838</v>
      </c>
      <c r="D606" t="s" s="27">
        <v>1559</v>
      </c>
      <c r="E606" t="s" s="27">
        <v>131</v>
      </c>
      <c r="F606" t="s" s="27">
        <v>1471</v>
      </c>
      <c r="G606" s="33"/>
      <c r="H606" s="34"/>
      <c r="I606" s="31"/>
      <c r="J606" s="32"/>
    </row>
    <row r="607" ht="16" customHeight="1">
      <c r="A607" t="s" s="26">
        <v>1560</v>
      </c>
      <c r="B607" t="s" s="27">
        <v>41</v>
      </c>
      <c r="C607" t="s" s="27">
        <v>423</v>
      </c>
      <c r="D607" t="s" s="27">
        <v>1561</v>
      </c>
      <c r="E607" t="s" s="27">
        <v>134</v>
      </c>
      <c r="F607" t="s" s="27">
        <v>1471</v>
      </c>
      <c r="G607" s="33"/>
      <c r="H607" s="34"/>
      <c r="I607" s="31"/>
      <c r="J607" s="32"/>
    </row>
    <row r="608" ht="16" customHeight="1">
      <c r="A608" t="s" s="26">
        <v>1562</v>
      </c>
      <c r="B608" t="s" s="27">
        <v>41</v>
      </c>
      <c r="C608" t="s" s="27">
        <v>838</v>
      </c>
      <c r="D608" t="s" s="27">
        <v>1563</v>
      </c>
      <c r="E608" t="s" s="27">
        <v>134</v>
      </c>
      <c r="F608" t="s" s="27">
        <v>1471</v>
      </c>
      <c r="G608" s="33"/>
      <c r="H608" s="34"/>
      <c r="I608" s="31"/>
      <c r="J608" s="32"/>
    </row>
    <row r="609" ht="16" customHeight="1">
      <c r="A609" t="s" s="26">
        <v>1564</v>
      </c>
      <c r="B609" t="s" s="27">
        <v>41</v>
      </c>
      <c r="C609" t="s" s="27">
        <v>838</v>
      </c>
      <c r="D609" t="s" s="27">
        <v>1565</v>
      </c>
      <c r="E609" t="s" s="27">
        <v>137</v>
      </c>
      <c r="F609" t="s" s="27">
        <v>1471</v>
      </c>
      <c r="G609" s="33"/>
      <c r="H609" s="34"/>
      <c r="I609" s="31"/>
      <c r="J609" s="32"/>
    </row>
    <row r="610" ht="16" customHeight="1">
      <c r="A610" t="s" s="26">
        <v>1566</v>
      </c>
      <c r="B610" t="s" s="27">
        <v>41</v>
      </c>
      <c r="C610" t="s" s="27">
        <v>838</v>
      </c>
      <c r="D610" t="s" s="27">
        <v>1567</v>
      </c>
      <c r="E610" t="s" s="27">
        <v>137</v>
      </c>
      <c r="F610" t="s" s="27">
        <v>1471</v>
      </c>
      <c r="G610" s="33"/>
      <c r="H610" s="34"/>
      <c r="I610" s="31"/>
      <c r="J610" s="32"/>
    </row>
    <row r="611" ht="16" customHeight="1">
      <c r="A611" t="s" s="26">
        <v>1568</v>
      </c>
      <c r="B611" t="s" s="27">
        <v>41</v>
      </c>
      <c r="C611" t="s" s="27">
        <v>838</v>
      </c>
      <c r="D611" t="s" s="27">
        <v>1569</v>
      </c>
      <c r="E611" t="s" s="27">
        <v>140</v>
      </c>
      <c r="F611" t="s" s="27">
        <v>1471</v>
      </c>
      <c r="G611" s="33"/>
      <c r="H611" s="34"/>
      <c r="I611" s="31"/>
      <c r="J611" s="32"/>
    </row>
    <row r="612" ht="16" customHeight="1">
      <c r="A612" t="s" s="26">
        <v>1570</v>
      </c>
      <c r="B612" t="s" s="27">
        <v>41</v>
      </c>
      <c r="C612" t="s" s="27">
        <v>838</v>
      </c>
      <c r="D612" t="s" s="27">
        <v>1571</v>
      </c>
      <c r="E612" t="s" s="27">
        <v>928</v>
      </c>
      <c r="F612" t="s" s="27">
        <v>1471</v>
      </c>
      <c r="G612" s="33"/>
      <c r="H612" s="34"/>
      <c r="I612" s="31"/>
      <c r="J612" s="32"/>
    </row>
    <row r="613" ht="16" customHeight="1">
      <c r="A613" t="s" s="26">
        <v>1572</v>
      </c>
      <c r="B613" t="s" s="27">
        <v>41</v>
      </c>
      <c r="C613" t="s" s="27">
        <v>838</v>
      </c>
      <c r="D613" t="s" s="27">
        <v>1573</v>
      </c>
      <c r="E613" t="s" s="27">
        <v>143</v>
      </c>
      <c r="F613" t="s" s="27">
        <v>1471</v>
      </c>
      <c r="G613" s="33"/>
      <c r="H613" s="34"/>
      <c r="I613" s="31"/>
      <c r="J613" s="32"/>
    </row>
    <row r="614" ht="16" customHeight="1">
      <c r="A614" t="s" s="26">
        <v>1574</v>
      </c>
      <c r="B614" t="s" s="27">
        <v>41</v>
      </c>
      <c r="C614" t="s" s="27">
        <v>838</v>
      </c>
      <c r="D614" t="s" s="27">
        <v>1575</v>
      </c>
      <c r="E614" t="s" s="27">
        <v>146</v>
      </c>
      <c r="F614" t="s" s="27">
        <v>1471</v>
      </c>
      <c r="G614" s="33"/>
      <c r="H614" s="34"/>
      <c r="I614" s="31"/>
      <c r="J614" s="32"/>
    </row>
    <row r="615" ht="16" customHeight="1">
      <c r="A615" t="s" s="26">
        <v>1576</v>
      </c>
      <c r="B615" t="s" s="27">
        <v>41</v>
      </c>
      <c r="C615" t="s" s="27">
        <v>838</v>
      </c>
      <c r="D615" t="s" s="27">
        <v>1577</v>
      </c>
      <c r="E615" t="s" s="27">
        <v>149</v>
      </c>
      <c r="F615" t="s" s="27">
        <v>1471</v>
      </c>
      <c r="G615" s="33"/>
      <c r="H615" s="34"/>
      <c r="I615" s="31"/>
      <c r="J615" s="32"/>
    </row>
    <row r="616" ht="16" customHeight="1">
      <c r="A616" t="s" s="26">
        <v>1578</v>
      </c>
      <c r="B616" t="s" s="27">
        <v>41</v>
      </c>
      <c r="C616" t="s" s="27">
        <v>838</v>
      </c>
      <c r="D616" t="s" s="27">
        <v>1579</v>
      </c>
      <c r="E616" t="s" s="27">
        <v>149</v>
      </c>
      <c r="F616" t="s" s="27">
        <v>1471</v>
      </c>
      <c r="G616" s="33">
        <v>0</v>
      </c>
      <c r="H616" t="s" s="29">
        <v>291</v>
      </c>
      <c r="I616" s="31"/>
      <c r="J616" s="32"/>
    </row>
    <row r="617" ht="16" customHeight="1">
      <c r="A617" t="s" s="26">
        <v>1580</v>
      </c>
      <c r="B617" t="s" s="27">
        <v>41</v>
      </c>
      <c r="C617" t="s" s="27">
        <v>838</v>
      </c>
      <c r="D617" t="s" s="27">
        <v>1581</v>
      </c>
      <c r="E617" t="s" s="27">
        <v>152</v>
      </c>
      <c r="F617" t="s" s="27">
        <v>1471</v>
      </c>
      <c r="G617" s="33">
        <v>0</v>
      </c>
      <c r="H617" t="s" s="29">
        <v>291</v>
      </c>
      <c r="I617" s="31"/>
      <c r="J617" s="32"/>
    </row>
    <row r="618" ht="16" customHeight="1">
      <c r="A618" t="s" s="26">
        <v>1582</v>
      </c>
      <c r="B618" t="s" s="27">
        <v>41</v>
      </c>
      <c r="C618" t="s" s="27">
        <v>838</v>
      </c>
      <c r="D618" t="s" s="27">
        <v>1583</v>
      </c>
      <c r="E618" t="s" s="27">
        <v>152</v>
      </c>
      <c r="F618" t="s" s="27">
        <v>1471</v>
      </c>
      <c r="G618" s="33">
        <v>0</v>
      </c>
      <c r="H618" t="s" s="29">
        <v>291</v>
      </c>
      <c r="I618" s="31"/>
      <c r="J618" s="32"/>
    </row>
    <row r="619" ht="16" customHeight="1">
      <c r="A619" t="s" s="26">
        <v>1584</v>
      </c>
      <c r="B619" t="s" s="27">
        <v>41</v>
      </c>
      <c r="C619" t="s" s="27">
        <v>449</v>
      </c>
      <c r="D619" t="s" s="27">
        <v>1585</v>
      </c>
      <c r="E619" t="s" s="27">
        <v>155</v>
      </c>
      <c r="F619" t="s" s="27">
        <v>1471</v>
      </c>
      <c r="G619" s="33">
        <v>0</v>
      </c>
      <c r="H619" t="s" s="29">
        <v>291</v>
      </c>
      <c r="I619" s="31"/>
      <c r="J619" s="32"/>
    </row>
    <row r="620" ht="16" customHeight="1">
      <c r="A620" t="s" s="26">
        <v>1586</v>
      </c>
      <c r="B620" t="s" s="27">
        <v>41</v>
      </c>
      <c r="C620" t="s" s="27">
        <v>838</v>
      </c>
      <c r="D620" t="s" s="27">
        <v>1587</v>
      </c>
      <c r="E620" t="s" s="27">
        <v>158</v>
      </c>
      <c r="F620" t="s" s="27">
        <v>1471</v>
      </c>
      <c r="G620" s="33">
        <v>0</v>
      </c>
      <c r="H620" t="s" s="29">
        <v>291</v>
      </c>
      <c r="I620" s="31"/>
      <c r="J620" s="32"/>
    </row>
    <row r="621" ht="16" customHeight="1">
      <c r="A621" t="s" s="26">
        <v>1588</v>
      </c>
      <c r="B621" t="s" s="27">
        <v>41</v>
      </c>
      <c r="C621" t="s" s="27">
        <v>423</v>
      </c>
      <c r="D621" t="s" s="27">
        <v>1589</v>
      </c>
      <c r="E621" t="s" s="27">
        <v>161</v>
      </c>
      <c r="F621" t="s" s="27">
        <v>1471</v>
      </c>
      <c r="G621" s="33">
        <v>0</v>
      </c>
      <c r="H621" t="s" s="29">
        <v>291</v>
      </c>
      <c r="I621" s="31"/>
      <c r="J621" s="32"/>
    </row>
    <row r="622" ht="16" customHeight="1">
      <c r="A622" t="s" s="26">
        <v>1590</v>
      </c>
      <c r="B622" t="s" s="27">
        <v>41</v>
      </c>
      <c r="C622" t="s" s="27">
        <v>838</v>
      </c>
      <c r="D622" t="s" s="27">
        <v>1591</v>
      </c>
      <c r="E622" t="s" s="27">
        <v>164</v>
      </c>
      <c r="F622" t="s" s="27">
        <v>1471</v>
      </c>
      <c r="G622" s="33">
        <v>0</v>
      </c>
      <c r="H622" t="s" s="29">
        <v>291</v>
      </c>
      <c r="I622" s="31"/>
      <c r="J622" s="32"/>
    </row>
    <row r="623" ht="16" customHeight="1">
      <c r="A623" t="s" s="26">
        <v>1592</v>
      </c>
      <c r="B623" t="s" s="27">
        <v>41</v>
      </c>
      <c r="C623" t="s" s="27">
        <v>838</v>
      </c>
      <c r="D623" t="s" s="27">
        <v>1593</v>
      </c>
      <c r="E623" t="s" s="27">
        <v>167</v>
      </c>
      <c r="F623" t="s" s="27">
        <v>1471</v>
      </c>
      <c r="G623" s="33">
        <v>0</v>
      </c>
      <c r="H623" t="s" s="29">
        <v>291</v>
      </c>
      <c r="I623" s="31"/>
      <c r="J623" s="32"/>
    </row>
    <row r="624" ht="16" customHeight="1">
      <c r="A624" t="s" s="26">
        <v>1594</v>
      </c>
      <c r="B624" t="s" s="27">
        <v>41</v>
      </c>
      <c r="C624" t="s" s="27">
        <v>42</v>
      </c>
      <c r="D624" t="s" s="27">
        <v>1595</v>
      </c>
      <c r="E624" t="s" s="27">
        <v>167</v>
      </c>
      <c r="F624" t="s" s="27">
        <v>1471</v>
      </c>
      <c r="G624" s="33">
        <v>0</v>
      </c>
      <c r="H624" t="s" s="29">
        <v>291</v>
      </c>
      <c r="I624" s="31"/>
      <c r="J624" s="32"/>
    </row>
    <row r="625" ht="16" customHeight="1">
      <c r="A625" t="s" s="26">
        <v>1596</v>
      </c>
      <c r="B625" t="s" s="27">
        <v>41</v>
      </c>
      <c r="C625" t="s" s="27">
        <v>838</v>
      </c>
      <c r="D625" t="s" s="27">
        <v>1597</v>
      </c>
      <c r="E625" t="s" s="27">
        <v>170</v>
      </c>
      <c r="F625" t="s" s="27">
        <v>1471</v>
      </c>
      <c r="G625" s="33">
        <v>0</v>
      </c>
      <c r="H625" t="s" s="29">
        <v>291</v>
      </c>
      <c r="I625" s="31"/>
      <c r="J625" s="32"/>
    </row>
    <row r="626" ht="16" customHeight="1">
      <c r="A626" t="s" s="26">
        <v>1598</v>
      </c>
      <c r="B626" t="s" s="27">
        <v>41</v>
      </c>
      <c r="C626" t="s" s="27">
        <v>423</v>
      </c>
      <c r="D626" t="s" s="27">
        <v>1599</v>
      </c>
      <c r="E626" t="s" s="27">
        <v>170</v>
      </c>
      <c r="F626" t="s" s="27">
        <v>1471</v>
      </c>
      <c r="G626" s="33">
        <v>0</v>
      </c>
      <c r="H626" t="s" s="29">
        <v>291</v>
      </c>
      <c r="I626" s="31"/>
      <c r="J626" s="32"/>
    </row>
    <row r="627" ht="16" customHeight="1">
      <c r="A627" t="s" s="26">
        <v>1600</v>
      </c>
      <c r="B627" t="s" s="27">
        <v>41</v>
      </c>
      <c r="C627" t="s" s="27">
        <v>449</v>
      </c>
      <c r="D627" t="s" s="27">
        <v>1601</v>
      </c>
      <c r="E627" t="s" s="27">
        <v>173</v>
      </c>
      <c r="F627" t="s" s="27">
        <v>1471</v>
      </c>
      <c r="G627" s="33">
        <v>0</v>
      </c>
      <c r="H627" t="s" s="29">
        <v>291</v>
      </c>
      <c r="I627" s="31"/>
      <c r="J627" s="32"/>
    </row>
    <row r="628" ht="16" customHeight="1">
      <c r="A628" t="s" s="26">
        <v>1602</v>
      </c>
      <c r="B628" t="s" s="27">
        <v>41</v>
      </c>
      <c r="C628" t="s" s="27">
        <v>42</v>
      </c>
      <c r="D628" t="s" s="27">
        <v>1603</v>
      </c>
      <c r="E628" t="s" s="27">
        <v>179</v>
      </c>
      <c r="F628" t="s" s="27">
        <v>1471</v>
      </c>
      <c r="G628" s="33">
        <v>0</v>
      </c>
      <c r="H628" t="s" s="29">
        <v>291</v>
      </c>
      <c r="I628" s="31"/>
      <c r="J628" s="32"/>
    </row>
    <row r="629" ht="16" customHeight="1">
      <c r="A629" t="s" s="26">
        <v>1604</v>
      </c>
      <c r="B629" t="s" s="27">
        <v>41</v>
      </c>
      <c r="C629" t="s" s="27">
        <v>838</v>
      </c>
      <c r="D629" t="s" s="27">
        <v>1605</v>
      </c>
      <c r="E629" t="s" s="27">
        <v>182</v>
      </c>
      <c r="F629" t="s" s="27">
        <v>1471</v>
      </c>
      <c r="G629" s="33">
        <v>0</v>
      </c>
      <c r="H629" t="s" s="29">
        <v>291</v>
      </c>
      <c r="I629" s="31"/>
      <c r="J629" s="32"/>
    </row>
    <row r="630" ht="16" customHeight="1">
      <c r="A630" t="s" s="26">
        <v>1606</v>
      </c>
      <c r="B630" t="s" s="27">
        <v>41</v>
      </c>
      <c r="C630" t="s" s="27">
        <v>42</v>
      </c>
      <c r="D630" t="s" s="27">
        <v>1607</v>
      </c>
      <c r="E630" t="s" s="27">
        <v>185</v>
      </c>
      <c r="F630" t="s" s="27">
        <v>1471</v>
      </c>
      <c r="G630" s="33">
        <v>0</v>
      </c>
      <c r="H630" t="s" s="29">
        <v>291</v>
      </c>
      <c r="I630" s="31"/>
      <c r="J630" s="32"/>
    </row>
    <row r="631" ht="16" customHeight="1">
      <c r="A631" t="s" s="26">
        <v>1608</v>
      </c>
      <c r="B631" t="s" s="27">
        <v>41</v>
      </c>
      <c r="C631" t="s" s="27">
        <v>838</v>
      </c>
      <c r="D631" t="s" s="27">
        <v>1609</v>
      </c>
      <c r="E631" t="s" s="27">
        <v>185</v>
      </c>
      <c r="F631" t="s" s="27">
        <v>1471</v>
      </c>
      <c r="G631" s="33">
        <v>0</v>
      </c>
      <c r="H631" t="s" s="29">
        <v>291</v>
      </c>
      <c r="I631" s="31"/>
      <c r="J631" s="32"/>
    </row>
    <row r="632" ht="16" customHeight="1">
      <c r="A632" t="s" s="26">
        <v>1610</v>
      </c>
      <c r="B632" t="s" s="27">
        <v>41</v>
      </c>
      <c r="C632" t="s" s="27">
        <v>838</v>
      </c>
      <c r="D632" t="s" s="27">
        <v>1611</v>
      </c>
      <c r="E632" t="s" s="27">
        <v>188</v>
      </c>
      <c r="F632" t="s" s="27">
        <v>1471</v>
      </c>
      <c r="G632" s="33">
        <v>0</v>
      </c>
      <c r="H632" t="s" s="29">
        <v>291</v>
      </c>
      <c r="I632" s="31"/>
      <c r="J632" s="32"/>
    </row>
    <row r="633" ht="16" customHeight="1">
      <c r="A633" t="s" s="26">
        <v>1612</v>
      </c>
      <c r="B633" t="s" s="27">
        <v>41</v>
      </c>
      <c r="C633" t="s" s="27">
        <v>838</v>
      </c>
      <c r="D633" t="s" s="27">
        <v>1613</v>
      </c>
      <c r="E633" t="s" s="27">
        <v>188</v>
      </c>
      <c r="F633" t="s" s="27">
        <v>1471</v>
      </c>
      <c r="G633" s="33">
        <v>0</v>
      </c>
      <c r="H633" t="s" s="29">
        <v>291</v>
      </c>
      <c r="I633" s="31"/>
      <c r="J633" s="32"/>
    </row>
    <row r="634" ht="16" customHeight="1">
      <c r="A634" t="s" s="26">
        <v>1614</v>
      </c>
      <c r="B634" t="s" s="27">
        <v>41</v>
      </c>
      <c r="C634" t="s" s="27">
        <v>449</v>
      </c>
      <c r="D634" t="s" s="27">
        <v>1615</v>
      </c>
      <c r="E634" t="s" s="27">
        <v>191</v>
      </c>
      <c r="F634" t="s" s="27">
        <v>1471</v>
      </c>
      <c r="G634" s="33">
        <v>0</v>
      </c>
      <c r="H634" t="s" s="29">
        <v>291</v>
      </c>
      <c r="I634" s="31"/>
      <c r="J634" s="32"/>
    </row>
    <row r="635" ht="16" customHeight="1">
      <c r="A635" t="s" s="26">
        <v>1616</v>
      </c>
      <c r="B635" t="s" s="27">
        <v>41</v>
      </c>
      <c r="C635" t="s" s="27">
        <v>838</v>
      </c>
      <c r="D635" t="s" s="27">
        <v>1617</v>
      </c>
      <c r="E635" t="s" s="27">
        <v>194</v>
      </c>
      <c r="F635" t="s" s="27">
        <v>1471</v>
      </c>
      <c r="G635" s="33">
        <v>0</v>
      </c>
      <c r="H635" t="s" s="29">
        <v>291</v>
      </c>
      <c r="I635" s="31"/>
      <c r="J635" s="32"/>
    </row>
    <row r="636" ht="16" customHeight="1">
      <c r="A636" t="s" s="26">
        <v>1618</v>
      </c>
      <c r="B636" t="s" s="27">
        <v>41</v>
      </c>
      <c r="C636" t="s" s="27">
        <v>449</v>
      </c>
      <c r="D636" t="s" s="27">
        <v>1619</v>
      </c>
      <c r="E636" t="s" s="27">
        <v>197</v>
      </c>
      <c r="F636" t="s" s="27">
        <v>1471</v>
      </c>
      <c r="G636" s="33">
        <v>0</v>
      </c>
      <c r="H636" t="s" s="29">
        <v>291</v>
      </c>
      <c r="I636" s="31"/>
      <c r="J636" s="32"/>
    </row>
    <row r="637" ht="16" customHeight="1">
      <c r="A637" t="s" s="26">
        <v>1620</v>
      </c>
      <c r="B637" t="s" s="27">
        <v>41</v>
      </c>
      <c r="C637" t="s" s="27">
        <v>838</v>
      </c>
      <c r="D637" t="s" s="27">
        <v>1621</v>
      </c>
      <c r="E637" t="s" s="27">
        <v>200</v>
      </c>
      <c r="F637" t="s" s="27">
        <v>1471</v>
      </c>
      <c r="G637" s="33"/>
      <c r="H637" s="34"/>
      <c r="I637" s="31"/>
      <c r="J637" s="32"/>
    </row>
    <row r="638" ht="16" customHeight="1">
      <c r="A638" t="s" s="26">
        <v>1622</v>
      </c>
      <c r="B638" t="s" s="27">
        <v>41</v>
      </c>
      <c r="C638" t="s" s="27">
        <v>838</v>
      </c>
      <c r="D638" t="s" s="27">
        <v>1623</v>
      </c>
      <c r="E638" t="s" s="27">
        <v>203</v>
      </c>
      <c r="F638" t="s" s="27">
        <v>1471</v>
      </c>
      <c r="G638" s="33"/>
      <c r="H638" s="34"/>
      <c r="I638" s="31"/>
      <c r="J638" s="32"/>
    </row>
    <row r="639" ht="24" customHeight="1">
      <c r="A639" t="s" s="26">
        <v>1624</v>
      </c>
      <c r="B639" t="s" s="27">
        <v>41</v>
      </c>
      <c r="C639" t="s" s="27">
        <v>42</v>
      </c>
      <c r="D639" t="s" s="27">
        <v>1625</v>
      </c>
      <c r="E639" t="s" s="27">
        <v>203</v>
      </c>
      <c r="F639" t="s" s="27">
        <v>1471</v>
      </c>
      <c r="G639" s="33"/>
      <c r="H639" s="34"/>
      <c r="I639" s="31"/>
      <c r="J639" s="32"/>
    </row>
    <row r="640" ht="16" customHeight="1">
      <c r="A640" t="s" s="26">
        <v>1626</v>
      </c>
      <c r="B640" t="s" s="27">
        <v>41</v>
      </c>
      <c r="C640" t="s" s="27">
        <v>423</v>
      </c>
      <c r="D640" t="s" s="27">
        <v>1627</v>
      </c>
      <c r="E640" t="s" s="27">
        <v>206</v>
      </c>
      <c r="F640" t="s" s="27">
        <v>1471</v>
      </c>
      <c r="G640" s="33"/>
      <c r="H640" s="34"/>
      <c r="I640" s="31"/>
      <c r="J640" s="32"/>
    </row>
    <row r="641" ht="16" customHeight="1">
      <c r="A641" t="s" s="26">
        <v>1628</v>
      </c>
      <c r="B641" t="s" s="27">
        <v>41</v>
      </c>
      <c r="C641" t="s" s="27">
        <v>42</v>
      </c>
      <c r="D641" t="s" s="27">
        <v>1629</v>
      </c>
      <c r="E641" t="s" s="27">
        <v>206</v>
      </c>
      <c r="F641" t="s" s="27">
        <v>1471</v>
      </c>
      <c r="G641" s="33"/>
      <c r="H641" s="34"/>
      <c r="I641" s="31"/>
      <c r="J641" s="32"/>
    </row>
    <row r="642" ht="16" customHeight="1">
      <c r="A642" t="s" s="26">
        <v>1630</v>
      </c>
      <c r="B642" t="s" s="27">
        <v>41</v>
      </c>
      <c r="C642" t="s" s="27">
        <v>838</v>
      </c>
      <c r="D642" t="s" s="27">
        <v>1631</v>
      </c>
      <c r="E642" t="s" s="27">
        <v>209</v>
      </c>
      <c r="F642" t="s" s="27">
        <v>1471</v>
      </c>
      <c r="G642" s="33"/>
      <c r="H642" s="34"/>
      <c r="I642" s="31"/>
      <c r="J642" s="32"/>
    </row>
    <row r="643" ht="16" customHeight="1">
      <c r="A643" t="s" s="26">
        <v>1632</v>
      </c>
      <c r="B643" t="s" s="27">
        <v>41</v>
      </c>
      <c r="C643" t="s" s="27">
        <v>838</v>
      </c>
      <c r="D643" t="s" s="27">
        <v>1633</v>
      </c>
      <c r="E643" t="s" s="27">
        <v>212</v>
      </c>
      <c r="F643" t="s" s="27">
        <v>1471</v>
      </c>
      <c r="G643" s="33"/>
      <c r="H643" s="34"/>
      <c r="I643" s="31"/>
      <c r="J643" s="32"/>
    </row>
    <row r="644" ht="16" customHeight="1">
      <c r="A644" t="s" s="26">
        <v>1634</v>
      </c>
      <c r="B644" t="s" s="27">
        <v>41</v>
      </c>
      <c r="C644" t="s" s="27">
        <v>423</v>
      </c>
      <c r="D644" t="s" s="27">
        <v>1635</v>
      </c>
      <c r="E644" t="s" s="27">
        <v>215</v>
      </c>
      <c r="F644" t="s" s="27">
        <v>1471</v>
      </c>
      <c r="G644" s="33"/>
      <c r="H644" s="34"/>
      <c r="I644" s="31"/>
      <c r="J644" s="32"/>
    </row>
    <row r="645" ht="16" customHeight="1">
      <c r="A645" t="s" s="26">
        <v>1636</v>
      </c>
      <c r="B645" t="s" s="27">
        <v>41</v>
      </c>
      <c r="C645" t="s" s="27">
        <v>42</v>
      </c>
      <c r="D645" t="s" s="27">
        <v>1637</v>
      </c>
      <c r="E645" t="s" s="27">
        <v>218</v>
      </c>
      <c r="F645" t="s" s="27">
        <v>1471</v>
      </c>
      <c r="G645" s="33"/>
      <c r="H645" s="34"/>
      <c r="I645" s="31"/>
      <c r="J645" s="32"/>
    </row>
    <row r="646" ht="16" customHeight="1">
      <c r="A646" t="s" s="26">
        <v>1638</v>
      </c>
      <c r="B646" t="s" s="27">
        <v>41</v>
      </c>
      <c r="C646" t="s" s="27">
        <v>838</v>
      </c>
      <c r="D646" t="s" s="27">
        <v>1639</v>
      </c>
      <c r="E646" t="s" s="27">
        <v>221</v>
      </c>
      <c r="F646" t="s" s="27">
        <v>1471</v>
      </c>
      <c r="G646" s="33"/>
      <c r="H646" s="34"/>
      <c r="I646" s="31"/>
      <c r="J646" s="32"/>
    </row>
    <row r="647" ht="16" customHeight="1">
      <c r="A647" t="s" s="26">
        <v>1640</v>
      </c>
      <c r="B647" t="s" s="27">
        <v>41</v>
      </c>
      <c r="C647" t="s" s="27">
        <v>42</v>
      </c>
      <c r="D647" t="s" s="27">
        <v>1641</v>
      </c>
      <c r="E647" t="s" s="27">
        <v>221</v>
      </c>
      <c r="F647" t="s" s="27">
        <v>1471</v>
      </c>
      <c r="G647" s="33"/>
      <c r="H647" s="34"/>
      <c r="I647" s="31"/>
      <c r="J647" s="32"/>
    </row>
    <row r="648" ht="16" customHeight="1">
      <c r="A648" t="s" s="26">
        <v>1642</v>
      </c>
      <c r="B648" t="s" s="27">
        <v>41</v>
      </c>
      <c r="C648" t="s" s="27">
        <v>423</v>
      </c>
      <c r="D648" t="s" s="27">
        <v>1643</v>
      </c>
      <c r="E648" t="s" s="27">
        <v>224</v>
      </c>
      <c r="F648" t="s" s="27">
        <v>1471</v>
      </c>
      <c r="G648" s="33"/>
      <c r="H648" s="34"/>
      <c r="I648" s="31"/>
      <c r="J648" s="32"/>
    </row>
    <row r="649" ht="16" customHeight="1">
      <c r="A649" t="s" s="26">
        <v>1644</v>
      </c>
      <c r="B649" t="s" s="27">
        <v>41</v>
      </c>
      <c r="C649" t="s" s="27">
        <v>838</v>
      </c>
      <c r="D649" t="s" s="27">
        <v>1645</v>
      </c>
      <c r="E649" t="s" s="27">
        <v>224</v>
      </c>
      <c r="F649" t="s" s="27">
        <v>1471</v>
      </c>
      <c r="G649" s="33"/>
      <c r="H649" s="34"/>
      <c r="I649" s="31"/>
      <c r="J649" s="32"/>
    </row>
    <row r="650" ht="16" customHeight="1">
      <c r="A650" t="s" s="26">
        <v>1646</v>
      </c>
      <c r="B650" t="s" s="27">
        <v>41</v>
      </c>
      <c r="C650" t="s" s="27">
        <v>838</v>
      </c>
      <c r="D650" t="s" s="27">
        <v>1647</v>
      </c>
      <c r="E650" t="s" s="27">
        <v>227</v>
      </c>
      <c r="F650" t="s" s="27">
        <v>1471</v>
      </c>
      <c r="G650" s="33"/>
      <c r="H650" s="34"/>
      <c r="I650" s="31"/>
      <c r="J650" s="32"/>
    </row>
    <row r="651" ht="16" customHeight="1">
      <c r="A651" t="s" s="26">
        <v>1648</v>
      </c>
      <c r="B651" t="s" s="27">
        <v>41</v>
      </c>
      <c r="C651" t="s" s="27">
        <v>838</v>
      </c>
      <c r="D651" t="s" s="27">
        <v>1649</v>
      </c>
      <c r="E651" t="s" s="27">
        <v>230</v>
      </c>
      <c r="F651" t="s" s="27">
        <v>1471</v>
      </c>
      <c r="G651" s="33"/>
      <c r="H651" s="34"/>
      <c r="I651" s="31"/>
      <c r="J651" s="32"/>
    </row>
    <row r="652" ht="24" customHeight="1">
      <c r="A652" t="s" s="26">
        <v>1650</v>
      </c>
      <c r="B652" t="s" s="27">
        <v>41</v>
      </c>
      <c r="C652" t="s" s="27">
        <v>838</v>
      </c>
      <c r="D652" t="s" s="27">
        <v>1651</v>
      </c>
      <c r="E652" t="s" s="27">
        <v>233</v>
      </c>
      <c r="F652" t="s" s="27">
        <v>1471</v>
      </c>
      <c r="G652" s="33"/>
      <c r="H652" s="34"/>
      <c r="I652" s="31"/>
      <c r="J652" s="32"/>
    </row>
    <row r="653" ht="16" customHeight="1">
      <c r="A653" t="s" s="26">
        <v>1652</v>
      </c>
      <c r="B653" t="s" s="27">
        <v>41</v>
      </c>
      <c r="C653" t="s" s="27">
        <v>42</v>
      </c>
      <c r="D653" t="s" s="27">
        <v>1653</v>
      </c>
      <c r="E653" t="s" s="27">
        <v>236</v>
      </c>
      <c r="F653" t="s" s="27">
        <v>1471</v>
      </c>
      <c r="G653" s="33"/>
      <c r="H653" s="34"/>
      <c r="I653" s="31"/>
      <c r="J653" s="32"/>
    </row>
    <row r="654" ht="16" customHeight="1">
      <c r="A654" t="s" s="26">
        <v>1654</v>
      </c>
      <c r="B654" t="s" s="27">
        <v>41</v>
      </c>
      <c r="C654" t="s" s="27">
        <v>838</v>
      </c>
      <c r="D654" t="s" s="27">
        <v>1655</v>
      </c>
      <c r="E654" t="s" s="27">
        <v>239</v>
      </c>
      <c r="F654" t="s" s="27">
        <v>1471</v>
      </c>
      <c r="G654" s="33"/>
      <c r="H654" s="34"/>
      <c r="I654" s="31"/>
      <c r="J654" s="32"/>
    </row>
    <row r="655" ht="16" customHeight="1">
      <c r="A655" t="s" s="26">
        <v>1656</v>
      </c>
      <c r="B655" t="s" s="27">
        <v>41</v>
      </c>
      <c r="C655" t="s" s="27">
        <v>42</v>
      </c>
      <c r="D655" t="s" s="27">
        <v>1657</v>
      </c>
      <c r="E655" t="s" s="27">
        <v>239</v>
      </c>
      <c r="F655" t="s" s="27">
        <v>1471</v>
      </c>
      <c r="G655" s="33"/>
      <c r="H655" s="34"/>
      <c r="I655" s="31"/>
      <c r="J655" s="32"/>
    </row>
    <row r="656" ht="16" customHeight="1">
      <c r="A656" t="s" s="26">
        <v>1658</v>
      </c>
      <c r="B656" t="s" s="27">
        <v>41</v>
      </c>
      <c r="C656" t="s" s="27">
        <v>838</v>
      </c>
      <c r="D656" t="s" s="27">
        <v>1659</v>
      </c>
      <c r="E656" t="s" s="27">
        <v>242</v>
      </c>
      <c r="F656" t="s" s="27">
        <v>1471</v>
      </c>
      <c r="G656" s="33"/>
      <c r="H656" s="34"/>
      <c r="I656" s="31"/>
      <c r="J656" s="32"/>
    </row>
    <row r="657" ht="16" customHeight="1">
      <c r="A657" t="s" s="26">
        <v>1660</v>
      </c>
      <c r="B657" t="s" s="27">
        <v>41</v>
      </c>
      <c r="C657" t="s" s="27">
        <v>449</v>
      </c>
      <c r="D657" t="s" s="27">
        <v>1661</v>
      </c>
      <c r="E657" t="s" s="27">
        <v>242</v>
      </c>
      <c r="F657" t="s" s="27">
        <v>1471</v>
      </c>
      <c r="G657" s="33"/>
      <c r="H657" s="34"/>
      <c r="I657" s="31"/>
      <c r="J657" s="32"/>
    </row>
    <row r="658" ht="16" customHeight="1">
      <c r="A658" t="s" s="26">
        <v>1662</v>
      </c>
      <c r="B658" t="s" s="27">
        <v>41</v>
      </c>
      <c r="C658" t="s" s="27">
        <v>838</v>
      </c>
      <c r="D658" t="s" s="27">
        <v>1663</v>
      </c>
      <c r="E658" t="s" s="27">
        <v>245</v>
      </c>
      <c r="F658" t="s" s="27">
        <v>1471</v>
      </c>
      <c r="G658" s="33"/>
      <c r="H658" s="34"/>
      <c r="I658" s="31"/>
      <c r="J658" s="32"/>
    </row>
    <row r="659" ht="16" customHeight="1">
      <c r="A659" t="s" s="26">
        <v>1664</v>
      </c>
      <c r="B659" t="s" s="27">
        <v>41</v>
      </c>
      <c r="C659" t="s" s="27">
        <v>449</v>
      </c>
      <c r="D659" t="s" s="27">
        <v>1665</v>
      </c>
      <c r="E659" t="s" s="27">
        <v>248</v>
      </c>
      <c r="F659" t="s" s="27">
        <v>1471</v>
      </c>
      <c r="G659" s="33"/>
      <c r="H659" s="34"/>
      <c r="I659" s="31"/>
      <c r="J659" s="32"/>
    </row>
    <row r="660" ht="16" customHeight="1">
      <c r="A660" t="s" s="26">
        <v>1666</v>
      </c>
      <c r="B660" t="s" s="27">
        <v>41</v>
      </c>
      <c r="C660" t="s" s="27">
        <v>42</v>
      </c>
      <c r="D660" t="s" s="27">
        <v>1667</v>
      </c>
      <c r="E660" t="s" s="27">
        <v>1011</v>
      </c>
      <c r="F660" t="s" s="27">
        <v>1471</v>
      </c>
      <c r="G660" s="33"/>
      <c r="H660" s="34"/>
      <c r="I660" s="31"/>
      <c r="J660" s="32"/>
    </row>
    <row r="661" ht="16" customHeight="1">
      <c r="A661" t="s" s="26">
        <v>1668</v>
      </c>
      <c r="B661" t="s" s="27">
        <v>41</v>
      </c>
      <c r="C661" t="s" s="27">
        <v>423</v>
      </c>
      <c r="D661" t="s" s="27">
        <v>1669</v>
      </c>
      <c r="E661" t="s" s="27">
        <v>251</v>
      </c>
      <c r="F661" t="s" s="27">
        <v>1471</v>
      </c>
      <c r="G661" s="33"/>
      <c r="H661" s="34"/>
      <c r="I661" s="31"/>
      <c r="J661" s="32"/>
    </row>
    <row r="662" ht="16" customHeight="1">
      <c r="A662" t="s" s="26">
        <v>1670</v>
      </c>
      <c r="B662" t="s" s="27">
        <v>41</v>
      </c>
      <c r="C662" t="s" s="27">
        <v>42</v>
      </c>
      <c r="D662" t="s" s="27">
        <v>1671</v>
      </c>
      <c r="E662" t="s" s="27">
        <v>1016</v>
      </c>
      <c r="F662" t="s" s="27">
        <v>1471</v>
      </c>
      <c r="G662" s="33"/>
      <c r="H662" s="34"/>
      <c r="I662" s="31"/>
      <c r="J662" s="32"/>
    </row>
    <row r="663" ht="16" customHeight="1">
      <c r="A663" t="s" s="26">
        <v>1672</v>
      </c>
      <c r="B663" t="s" s="27">
        <v>41</v>
      </c>
      <c r="C663" t="s" s="27">
        <v>838</v>
      </c>
      <c r="D663" t="s" s="27">
        <v>1673</v>
      </c>
      <c r="E663" t="s" s="27">
        <v>1016</v>
      </c>
      <c r="F663" t="s" s="27">
        <v>1471</v>
      </c>
      <c r="G663" s="33"/>
      <c r="H663" s="34"/>
      <c r="I663" s="31"/>
      <c r="J663" s="32"/>
    </row>
    <row r="664" ht="16" customHeight="1">
      <c r="A664" t="s" s="26">
        <v>1674</v>
      </c>
      <c r="B664" t="s" s="27">
        <v>41</v>
      </c>
      <c r="C664" t="s" s="27">
        <v>42</v>
      </c>
      <c r="D664" t="s" s="27">
        <v>1675</v>
      </c>
      <c r="E664" t="s" s="27">
        <v>254</v>
      </c>
      <c r="F664" t="s" s="27">
        <v>1471</v>
      </c>
      <c r="G664" s="33"/>
      <c r="H664" s="34"/>
      <c r="I664" s="31"/>
      <c r="J664" s="32"/>
    </row>
    <row r="665" ht="16" customHeight="1">
      <c r="A665" t="s" s="26">
        <v>1676</v>
      </c>
      <c r="B665" t="s" s="27">
        <v>41</v>
      </c>
      <c r="C665" t="s" s="27">
        <v>838</v>
      </c>
      <c r="D665" t="s" s="27">
        <v>1677</v>
      </c>
      <c r="E665" t="s" s="27">
        <v>254</v>
      </c>
      <c r="F665" t="s" s="27">
        <v>1471</v>
      </c>
      <c r="G665" s="33"/>
      <c r="H665" s="34"/>
      <c r="I665" s="31"/>
      <c r="J665" s="32"/>
    </row>
    <row r="666" ht="16" customHeight="1">
      <c r="A666" t="s" s="26">
        <v>1678</v>
      </c>
      <c r="B666" t="s" s="27">
        <v>41</v>
      </c>
      <c r="C666" t="s" s="27">
        <v>838</v>
      </c>
      <c r="D666" t="s" s="27">
        <v>1679</v>
      </c>
      <c r="E666" t="s" s="27">
        <v>257</v>
      </c>
      <c r="F666" t="s" s="27">
        <v>1471</v>
      </c>
      <c r="G666" s="33"/>
      <c r="H666" s="34"/>
      <c r="I666" s="31"/>
      <c r="J666" s="32"/>
    </row>
    <row r="667" ht="16" customHeight="1">
      <c r="A667" t="s" s="26">
        <v>1680</v>
      </c>
      <c r="B667" t="s" s="27">
        <v>41</v>
      </c>
      <c r="C667" t="s" s="27">
        <v>838</v>
      </c>
      <c r="D667" t="s" s="27">
        <v>1681</v>
      </c>
      <c r="E667" t="s" s="27">
        <v>260</v>
      </c>
      <c r="F667" t="s" s="27">
        <v>1471</v>
      </c>
      <c r="G667" s="33"/>
      <c r="H667" s="34"/>
      <c r="I667" s="31"/>
      <c r="J667" s="32"/>
    </row>
    <row r="668" ht="16" customHeight="1">
      <c r="A668" t="s" s="26">
        <v>1682</v>
      </c>
      <c r="B668" t="s" s="27">
        <v>41</v>
      </c>
      <c r="C668" t="s" s="27">
        <v>423</v>
      </c>
      <c r="D668" t="s" s="27">
        <v>1683</v>
      </c>
      <c r="E668" t="s" s="27">
        <v>263</v>
      </c>
      <c r="F668" t="s" s="27">
        <v>1471</v>
      </c>
      <c r="G668" s="33"/>
      <c r="H668" s="34"/>
      <c r="I668" s="31"/>
      <c r="J668" s="32"/>
    </row>
    <row r="669" ht="16" customHeight="1">
      <c r="A669" t="s" s="26">
        <v>1684</v>
      </c>
      <c r="B669" t="s" s="27">
        <v>41</v>
      </c>
      <c r="C669" t="s" s="27">
        <v>838</v>
      </c>
      <c r="D669" t="s" s="27">
        <v>1685</v>
      </c>
      <c r="E669" t="s" s="27">
        <v>266</v>
      </c>
      <c r="F669" t="s" s="27">
        <v>1471</v>
      </c>
      <c r="G669" s="33"/>
      <c r="H669" s="34"/>
      <c r="I669" s="31"/>
      <c r="J669" s="32"/>
    </row>
    <row r="670" ht="24" customHeight="1">
      <c r="A670" t="s" s="26">
        <v>1686</v>
      </c>
      <c r="B670" t="s" s="27">
        <v>41</v>
      </c>
      <c r="C670" t="s" s="27">
        <v>838</v>
      </c>
      <c r="D670" t="s" s="27">
        <v>1687</v>
      </c>
      <c r="E670" t="s" s="27">
        <v>269</v>
      </c>
      <c r="F670" t="s" s="27">
        <v>1471</v>
      </c>
      <c r="G670" s="33"/>
      <c r="H670" s="34"/>
      <c r="I670" s="31"/>
      <c r="J670" s="32"/>
    </row>
    <row r="671" ht="16" customHeight="1">
      <c r="A671" t="s" s="26">
        <v>1688</v>
      </c>
      <c r="B671" t="s" s="27">
        <v>41</v>
      </c>
      <c r="C671" t="s" s="27">
        <v>838</v>
      </c>
      <c r="D671" t="s" s="27">
        <v>1689</v>
      </c>
      <c r="E671" t="s" s="27">
        <v>269</v>
      </c>
      <c r="F671" t="s" s="27">
        <v>1471</v>
      </c>
      <c r="G671" s="33"/>
      <c r="H671" s="34"/>
      <c r="I671" s="31"/>
      <c r="J671" s="32"/>
    </row>
    <row r="672" ht="16" customHeight="1">
      <c r="A672" t="s" s="26">
        <v>1690</v>
      </c>
      <c r="B672" t="s" s="27">
        <v>41</v>
      </c>
      <c r="C672" t="s" s="27">
        <v>423</v>
      </c>
      <c r="D672" t="s" s="27">
        <v>1691</v>
      </c>
      <c r="E672" t="s" s="27">
        <v>272</v>
      </c>
      <c r="F672" t="s" s="27">
        <v>1471</v>
      </c>
      <c r="G672" s="33"/>
      <c r="H672" s="34"/>
      <c r="I672" s="31"/>
      <c r="J672" s="32"/>
    </row>
    <row r="673" ht="16" customHeight="1">
      <c r="A673" t="s" s="26">
        <v>1692</v>
      </c>
      <c r="B673" t="s" s="27">
        <v>41</v>
      </c>
      <c r="C673" t="s" s="27">
        <v>838</v>
      </c>
      <c r="D673" t="s" s="27">
        <v>1693</v>
      </c>
      <c r="E673" t="s" s="27">
        <v>272</v>
      </c>
      <c r="F673" t="s" s="27">
        <v>1471</v>
      </c>
      <c r="G673" s="33"/>
      <c r="H673" s="34"/>
      <c r="I673" s="31"/>
      <c r="J673" s="32"/>
    </row>
    <row r="674" ht="16" customHeight="1">
      <c r="A674" t="s" s="26">
        <v>1694</v>
      </c>
      <c r="B674" t="s" s="27">
        <v>41</v>
      </c>
      <c r="C674" t="s" s="27">
        <v>423</v>
      </c>
      <c r="D674" t="s" s="27">
        <v>1695</v>
      </c>
      <c r="E674" t="s" s="27">
        <v>275</v>
      </c>
      <c r="F674" t="s" s="27">
        <v>1471</v>
      </c>
      <c r="G674" s="33"/>
      <c r="H674" s="34"/>
      <c r="I674" s="31"/>
      <c r="J674" s="32"/>
    </row>
    <row r="675" ht="16" customHeight="1">
      <c r="A675" t="s" s="26">
        <v>1696</v>
      </c>
      <c r="B675" t="s" s="27">
        <v>41</v>
      </c>
      <c r="C675" t="s" s="27">
        <v>423</v>
      </c>
      <c r="D675" t="s" s="27">
        <v>1697</v>
      </c>
      <c r="E675" t="s" s="27">
        <v>278</v>
      </c>
      <c r="F675" t="s" s="27">
        <v>1471</v>
      </c>
      <c r="G675" s="33"/>
      <c r="H675" s="34"/>
      <c r="I675" s="31"/>
      <c r="J675" s="32"/>
    </row>
    <row r="676" ht="16" customHeight="1">
      <c r="A676" t="s" s="26">
        <v>1698</v>
      </c>
      <c r="B676" t="s" s="27">
        <v>41</v>
      </c>
      <c r="C676" t="s" s="27">
        <v>838</v>
      </c>
      <c r="D676" t="s" s="27">
        <v>1699</v>
      </c>
      <c r="E676" t="s" s="27">
        <v>281</v>
      </c>
      <c r="F676" t="s" s="27">
        <v>1471</v>
      </c>
      <c r="G676" s="33"/>
      <c r="H676" s="34"/>
      <c r="I676" s="31"/>
      <c r="J676" s="32"/>
    </row>
    <row r="677" ht="16" customHeight="1">
      <c r="A677" t="s" s="26">
        <v>1700</v>
      </c>
      <c r="B677" t="s" s="27">
        <v>41</v>
      </c>
      <c r="C677" t="s" s="27">
        <v>423</v>
      </c>
      <c r="D677" t="s" s="27">
        <v>1701</v>
      </c>
      <c r="E677" t="s" s="27">
        <v>284</v>
      </c>
      <c r="F677" t="s" s="27">
        <v>1471</v>
      </c>
      <c r="G677" s="33"/>
      <c r="H677" s="34"/>
      <c r="I677" s="31"/>
      <c r="J677" s="32"/>
    </row>
    <row r="678" ht="24" customHeight="1">
      <c r="A678" t="s" s="26">
        <v>1702</v>
      </c>
      <c r="B678" t="s" s="27">
        <v>41</v>
      </c>
      <c r="C678" t="s" s="27">
        <v>42</v>
      </c>
      <c r="D678" t="s" s="27">
        <v>1703</v>
      </c>
      <c r="E678" t="s" s="27">
        <v>287</v>
      </c>
      <c r="F678" t="s" s="27">
        <v>1471</v>
      </c>
      <c r="G678" s="33"/>
      <c r="H678" s="34"/>
      <c r="I678" s="31"/>
      <c r="J678" s="32"/>
    </row>
    <row r="679" ht="16" customHeight="1">
      <c r="A679" t="s" s="26">
        <v>1704</v>
      </c>
      <c r="B679" t="s" s="27">
        <v>41</v>
      </c>
      <c r="C679" t="s" s="27">
        <v>838</v>
      </c>
      <c r="D679" t="s" s="27">
        <v>1705</v>
      </c>
      <c r="E679" t="s" s="27">
        <v>287</v>
      </c>
      <c r="F679" t="s" s="27">
        <v>1471</v>
      </c>
      <c r="G679" s="33"/>
      <c r="H679" s="34"/>
      <c r="I679" s="31"/>
      <c r="J679" s="32"/>
    </row>
    <row r="680" ht="24" customHeight="1">
      <c r="A680" t="s" s="26">
        <v>1706</v>
      </c>
      <c r="B680" t="s" s="27">
        <v>41</v>
      </c>
      <c r="C680" t="s" s="27">
        <v>42</v>
      </c>
      <c r="D680" t="s" s="27">
        <v>1707</v>
      </c>
      <c r="E680" t="s" s="27">
        <v>290</v>
      </c>
      <c r="F680" t="s" s="27">
        <v>1471</v>
      </c>
      <c r="G680" s="33"/>
      <c r="H680" s="34"/>
      <c r="I680" s="31"/>
      <c r="J680" s="32"/>
    </row>
    <row r="681" ht="16" customHeight="1">
      <c r="A681" t="s" s="26">
        <v>1708</v>
      </c>
      <c r="B681" t="s" s="27">
        <v>41</v>
      </c>
      <c r="C681" t="s" s="27">
        <v>838</v>
      </c>
      <c r="D681" t="s" s="27">
        <v>1709</v>
      </c>
      <c r="E681" t="s" s="27">
        <v>290</v>
      </c>
      <c r="F681" t="s" s="27">
        <v>1471</v>
      </c>
      <c r="G681" s="33">
        <v>5</v>
      </c>
      <c r="H681" t="s" s="29">
        <v>403</v>
      </c>
      <c r="I681" s="31"/>
      <c r="J681" s="32"/>
    </row>
    <row r="682" ht="16" customHeight="1">
      <c r="A682" t="s" s="26">
        <v>1710</v>
      </c>
      <c r="B682" t="s" s="27">
        <v>41</v>
      </c>
      <c r="C682" t="s" s="27">
        <v>838</v>
      </c>
      <c r="D682" t="s" s="27">
        <v>1711</v>
      </c>
      <c r="E682" t="s" s="27">
        <v>294</v>
      </c>
      <c r="F682" t="s" s="27">
        <v>1471</v>
      </c>
      <c r="G682" s="33"/>
      <c r="H682" s="34"/>
      <c r="I682" s="31"/>
      <c r="J682" s="32"/>
    </row>
    <row r="683" ht="16" customHeight="1">
      <c r="A683" t="s" s="26">
        <v>1712</v>
      </c>
      <c r="B683" t="s" s="27">
        <v>41</v>
      </c>
      <c r="C683" t="s" s="27">
        <v>42</v>
      </c>
      <c r="D683" t="s" s="27">
        <v>1713</v>
      </c>
      <c r="E683" t="s" s="27">
        <v>300</v>
      </c>
      <c r="F683" t="s" s="27">
        <v>1471</v>
      </c>
      <c r="G683" s="33"/>
      <c r="H683" s="34"/>
      <c r="I683" s="31"/>
      <c r="J683" s="32"/>
    </row>
    <row r="684" ht="16" customHeight="1">
      <c r="A684" t="s" s="26">
        <v>1714</v>
      </c>
      <c r="B684" t="s" s="27">
        <v>41</v>
      </c>
      <c r="C684" t="s" s="27">
        <v>42</v>
      </c>
      <c r="D684" t="s" s="27">
        <v>1715</v>
      </c>
      <c r="E684" t="s" s="27">
        <v>303</v>
      </c>
      <c r="F684" t="s" s="27">
        <v>1471</v>
      </c>
      <c r="G684" s="33"/>
      <c r="H684" s="34"/>
      <c r="I684" s="31"/>
      <c r="J684" s="32"/>
    </row>
    <row r="685" ht="16" customHeight="1">
      <c r="A685" t="s" s="26">
        <v>1716</v>
      </c>
      <c r="B685" t="s" s="27">
        <v>41</v>
      </c>
      <c r="C685" t="s" s="27">
        <v>838</v>
      </c>
      <c r="D685" t="s" s="27">
        <v>1717</v>
      </c>
      <c r="E685" t="s" s="27">
        <v>306</v>
      </c>
      <c r="F685" t="s" s="27">
        <v>1471</v>
      </c>
      <c r="G685" s="33"/>
      <c r="H685" s="34"/>
      <c r="I685" s="31"/>
      <c r="J685" s="32"/>
    </row>
    <row r="686" ht="16" customHeight="1">
      <c r="A686" t="s" s="26">
        <v>1718</v>
      </c>
      <c r="B686" t="s" s="27">
        <v>41</v>
      </c>
      <c r="C686" t="s" s="27">
        <v>423</v>
      </c>
      <c r="D686" t="s" s="27">
        <v>1719</v>
      </c>
      <c r="E686" t="s" s="27">
        <v>306</v>
      </c>
      <c r="F686" t="s" s="27">
        <v>1471</v>
      </c>
      <c r="G686" s="33"/>
      <c r="H686" s="34"/>
      <c r="I686" s="31"/>
      <c r="J686" s="32"/>
    </row>
    <row r="687" ht="16" customHeight="1">
      <c r="A687" t="s" s="26">
        <v>1720</v>
      </c>
      <c r="B687" t="s" s="27">
        <v>41</v>
      </c>
      <c r="C687" t="s" s="27">
        <v>42</v>
      </c>
      <c r="D687" t="s" s="27">
        <v>1721</v>
      </c>
      <c r="E687" t="s" s="27">
        <v>309</v>
      </c>
      <c r="F687" t="s" s="27">
        <v>1471</v>
      </c>
      <c r="G687" s="33"/>
      <c r="H687" s="34"/>
      <c r="I687" s="31"/>
      <c r="J687" s="32"/>
    </row>
    <row r="688" ht="16" customHeight="1">
      <c r="A688" t="s" s="26">
        <v>1722</v>
      </c>
      <c r="B688" t="s" s="27">
        <v>41</v>
      </c>
      <c r="C688" t="s" s="27">
        <v>838</v>
      </c>
      <c r="D688" t="s" s="27">
        <v>1723</v>
      </c>
      <c r="E688" t="s" s="27">
        <v>309</v>
      </c>
      <c r="F688" t="s" s="27">
        <v>1471</v>
      </c>
      <c r="G688" s="33"/>
      <c r="H688" s="34"/>
      <c r="I688" s="31"/>
      <c r="J688" s="32"/>
    </row>
    <row r="689" ht="16" customHeight="1">
      <c r="A689" t="s" s="26">
        <v>1724</v>
      </c>
      <c r="B689" t="s" s="27">
        <v>41</v>
      </c>
      <c r="C689" t="s" s="27">
        <v>449</v>
      </c>
      <c r="D689" t="s" s="27">
        <v>1725</v>
      </c>
      <c r="E689" t="s" s="27">
        <v>312</v>
      </c>
      <c r="F689" t="s" s="27">
        <v>1471</v>
      </c>
      <c r="G689" s="33"/>
      <c r="H689" s="34"/>
      <c r="I689" s="31"/>
      <c r="J689" s="32"/>
    </row>
    <row r="690" ht="16" customHeight="1">
      <c r="A690" t="s" s="26">
        <v>1726</v>
      </c>
      <c r="B690" t="s" s="27">
        <v>41</v>
      </c>
      <c r="C690" t="s" s="27">
        <v>838</v>
      </c>
      <c r="D690" t="s" s="27">
        <v>1727</v>
      </c>
      <c r="E690" t="s" s="27">
        <v>315</v>
      </c>
      <c r="F690" t="s" s="27">
        <v>1471</v>
      </c>
      <c r="G690" s="33" cm="1">
        <f t="array" ref="G690">RAND()*6</f>
        <v>1.09349842446313</v>
      </c>
      <c r="H690" s="34"/>
      <c r="I690" s="31"/>
      <c r="J690" s="32"/>
    </row>
    <row r="691" ht="16" customHeight="1">
      <c r="A691" t="s" s="26">
        <v>1728</v>
      </c>
      <c r="B691" t="s" s="27">
        <v>41</v>
      </c>
      <c r="C691" t="s" s="27">
        <v>42</v>
      </c>
      <c r="D691" t="s" s="27">
        <v>1729</v>
      </c>
      <c r="E691" t="s" s="27">
        <v>318</v>
      </c>
      <c r="F691" t="s" s="27">
        <v>1471</v>
      </c>
      <c r="G691" s="33" cm="1">
        <f t="array" ref="G691">RAND()*6</f>
        <v>4.40878256712857</v>
      </c>
      <c r="H691" s="34"/>
      <c r="I691" s="31"/>
      <c r="J691" s="32"/>
    </row>
    <row r="692" ht="16" customHeight="1">
      <c r="A692" t="s" s="26">
        <v>1730</v>
      </c>
      <c r="B692" t="s" s="27">
        <v>41</v>
      </c>
      <c r="C692" t="s" s="27">
        <v>838</v>
      </c>
      <c r="D692" t="s" s="27">
        <v>1731</v>
      </c>
      <c r="E692" t="s" s="27">
        <v>321</v>
      </c>
      <c r="F692" t="s" s="27">
        <v>1471</v>
      </c>
      <c r="G692" s="33" cm="1">
        <f t="array" ref="G692">RAND()*6</f>
        <v>3.66539442514842</v>
      </c>
      <c r="H692" s="34"/>
      <c r="I692" s="31"/>
      <c r="J692" s="32"/>
    </row>
    <row r="693" ht="16" customHeight="1">
      <c r="A693" t="s" s="26">
        <v>1732</v>
      </c>
      <c r="B693" t="s" s="27">
        <v>41</v>
      </c>
      <c r="C693" s="35"/>
      <c r="D693" t="s" s="27">
        <v>1733</v>
      </c>
      <c r="E693" t="s" s="27">
        <v>324</v>
      </c>
      <c r="F693" t="s" s="27">
        <v>1471</v>
      </c>
      <c r="G693" s="33" cm="1">
        <f t="array" ref="G693">RAND()*6</f>
        <v>0.202497790985577</v>
      </c>
      <c r="H693" s="34"/>
      <c r="I693" s="31"/>
      <c r="J693" s="32"/>
    </row>
    <row r="694" ht="16" customHeight="1">
      <c r="A694" t="s" s="26">
        <v>1734</v>
      </c>
      <c r="B694" t="s" s="27">
        <v>41</v>
      </c>
      <c r="C694" t="s" s="27">
        <v>838</v>
      </c>
      <c r="D694" t="s" s="27">
        <v>1735</v>
      </c>
      <c r="E694" t="s" s="27">
        <v>324</v>
      </c>
      <c r="F694" t="s" s="27">
        <v>1471</v>
      </c>
      <c r="G694" s="33" cm="1">
        <f t="array" ref="G694">RAND()*6</f>
        <v>5.8322346648934</v>
      </c>
      <c r="H694" s="34"/>
      <c r="I694" s="31"/>
      <c r="J694" s="32"/>
    </row>
    <row r="695" ht="24" customHeight="1">
      <c r="A695" t="s" s="26">
        <v>1736</v>
      </c>
      <c r="B695" t="s" s="27">
        <v>41</v>
      </c>
      <c r="C695" t="s" s="27">
        <v>838</v>
      </c>
      <c r="D695" t="s" s="27">
        <v>1737</v>
      </c>
      <c r="E695" t="s" s="27">
        <v>327</v>
      </c>
      <c r="F695" t="s" s="27">
        <v>1471</v>
      </c>
      <c r="G695" s="33" cm="1">
        <f t="array" ref="G695">RAND()*6</f>
        <v>0.612841428705529</v>
      </c>
      <c r="H695" s="34"/>
      <c r="I695" s="31"/>
      <c r="J695" s="32"/>
    </row>
    <row r="696" ht="16" customHeight="1">
      <c r="A696" t="s" s="26">
        <v>1738</v>
      </c>
      <c r="B696" t="s" s="27">
        <v>41</v>
      </c>
      <c r="C696" t="s" s="27">
        <v>838</v>
      </c>
      <c r="D696" t="s" s="27">
        <v>1739</v>
      </c>
      <c r="E696" t="s" s="27">
        <v>327</v>
      </c>
      <c r="F696" t="s" s="27">
        <v>1471</v>
      </c>
      <c r="G696" s="33" cm="1">
        <f t="array" ref="G696">RAND()*6</f>
        <v>4.54873792253483</v>
      </c>
      <c r="H696" s="34"/>
      <c r="I696" s="31"/>
      <c r="J696" s="32"/>
    </row>
    <row r="697" ht="16" customHeight="1">
      <c r="A697" t="s" s="26">
        <v>1740</v>
      </c>
      <c r="B697" t="s" s="27">
        <v>41</v>
      </c>
      <c r="C697" t="s" s="27">
        <v>838</v>
      </c>
      <c r="D697" t="s" s="27">
        <v>1741</v>
      </c>
      <c r="E697" t="s" s="27">
        <v>330</v>
      </c>
      <c r="F697" t="s" s="27">
        <v>1471</v>
      </c>
      <c r="G697" s="33" cm="1">
        <f t="array" ref="G697">RAND()*6</f>
        <v>0.955004332056771</v>
      </c>
      <c r="H697" s="34"/>
      <c r="I697" s="31"/>
      <c r="J697" s="32"/>
    </row>
    <row r="698" ht="16" customHeight="1">
      <c r="A698" t="s" s="26">
        <v>1742</v>
      </c>
      <c r="B698" t="s" s="27">
        <v>41</v>
      </c>
      <c r="C698" t="s" s="27">
        <v>838</v>
      </c>
      <c r="D698" t="s" s="27">
        <v>1743</v>
      </c>
      <c r="E698" t="s" s="27">
        <v>333</v>
      </c>
      <c r="F698" t="s" s="27">
        <v>1471</v>
      </c>
      <c r="G698" s="33" cm="1">
        <f t="array" ref="G698">RAND()*6</f>
        <v>2.65145694647576</v>
      </c>
      <c r="H698" s="34"/>
      <c r="I698" s="31"/>
      <c r="J698" s="32"/>
    </row>
    <row r="699" ht="16" customHeight="1">
      <c r="A699" t="s" s="26">
        <v>1744</v>
      </c>
      <c r="B699" t="s" s="27">
        <v>41</v>
      </c>
      <c r="C699" t="s" s="27">
        <v>838</v>
      </c>
      <c r="D699" t="s" s="27">
        <v>1745</v>
      </c>
      <c r="E699" t="s" s="27">
        <v>336</v>
      </c>
      <c r="F699" t="s" s="27">
        <v>1471</v>
      </c>
      <c r="G699" s="33" cm="1">
        <f t="array" ref="G699">RAND()*6</f>
        <v>2.14323606240334</v>
      </c>
      <c r="H699" s="34"/>
      <c r="I699" s="31"/>
      <c r="J699" s="32"/>
    </row>
    <row r="700" ht="16" customHeight="1">
      <c r="A700" t="s" s="26">
        <v>1746</v>
      </c>
      <c r="B700" t="s" s="27">
        <v>41</v>
      </c>
      <c r="C700" t="s" s="27">
        <v>423</v>
      </c>
      <c r="D700" t="s" s="27">
        <v>1747</v>
      </c>
      <c r="E700" t="s" s="27">
        <v>339</v>
      </c>
      <c r="F700" t="s" s="27">
        <v>1471</v>
      </c>
      <c r="G700" s="33" cm="1">
        <f t="array" ref="G700">RAND()*6</f>
        <v>1.71386647943584</v>
      </c>
      <c r="H700" s="34"/>
      <c r="I700" s="31"/>
      <c r="J700" s="32"/>
    </row>
    <row r="701" ht="16" customHeight="1">
      <c r="A701" t="s" s="26">
        <v>1748</v>
      </c>
      <c r="B701" t="s" s="27">
        <v>41</v>
      </c>
      <c r="C701" t="s" s="27">
        <v>838</v>
      </c>
      <c r="D701" t="s" s="27">
        <v>1749</v>
      </c>
      <c r="E701" t="s" s="27">
        <v>342</v>
      </c>
      <c r="F701" t="s" s="27">
        <v>1471</v>
      </c>
      <c r="G701" s="33" cm="1">
        <f t="array" ref="G701">RAND()*6</f>
        <v>0.490540073291225</v>
      </c>
      <c r="H701" s="34"/>
      <c r="I701" s="31"/>
      <c r="J701" s="32"/>
    </row>
    <row r="702" ht="16" customHeight="1">
      <c r="A702" t="s" s="26">
        <v>1750</v>
      </c>
      <c r="B702" t="s" s="27">
        <v>41</v>
      </c>
      <c r="C702" s="35"/>
      <c r="D702" t="s" s="27">
        <v>1751</v>
      </c>
      <c r="E702" t="s" s="27">
        <v>342</v>
      </c>
      <c r="F702" t="s" s="27">
        <v>1471</v>
      </c>
      <c r="G702" s="33" cm="1">
        <f t="array" ref="G702">RAND()*6</f>
        <v>5.22113117243767</v>
      </c>
      <c r="H702" s="34"/>
      <c r="I702" s="31"/>
      <c r="J702" s="32"/>
    </row>
    <row r="703" ht="16" customHeight="1">
      <c r="A703" t="s" s="26">
        <v>1752</v>
      </c>
      <c r="B703" t="s" s="27">
        <v>41</v>
      </c>
      <c r="C703" t="s" s="27">
        <v>838</v>
      </c>
      <c r="D703" t="s" s="27">
        <v>1753</v>
      </c>
      <c r="E703" t="s" s="27">
        <v>345</v>
      </c>
      <c r="F703" t="s" s="27">
        <v>1471</v>
      </c>
      <c r="G703" s="33" cm="1">
        <f t="array" ref="G703">RAND()*6</f>
        <v>2.62685486567604</v>
      </c>
      <c r="H703" s="34"/>
      <c r="I703" s="31"/>
      <c r="J703" s="32"/>
    </row>
    <row r="704" ht="16" customHeight="1">
      <c r="A704" t="s" s="26">
        <v>1754</v>
      </c>
      <c r="B704" t="s" s="27">
        <v>41</v>
      </c>
      <c r="C704" t="s" s="27">
        <v>838</v>
      </c>
      <c r="D704" t="s" s="27">
        <v>1755</v>
      </c>
      <c r="E704" t="s" s="27">
        <v>345</v>
      </c>
      <c r="F704" t="s" s="27">
        <v>1471</v>
      </c>
      <c r="G704" s="33" cm="1">
        <f t="array" ref="G704">RAND()*6</f>
        <v>1.64086517371324</v>
      </c>
      <c r="H704" s="34"/>
      <c r="I704" s="31"/>
      <c r="J704" s="32"/>
    </row>
    <row r="705" ht="16" customHeight="1">
      <c r="A705" t="s" s="26">
        <v>1756</v>
      </c>
      <c r="B705" t="s" s="27">
        <v>41</v>
      </c>
      <c r="C705" t="s" s="27">
        <v>838</v>
      </c>
      <c r="D705" t="s" s="27">
        <v>1757</v>
      </c>
      <c r="E705" t="s" s="27">
        <v>348</v>
      </c>
      <c r="F705" t="s" s="27">
        <v>1471</v>
      </c>
      <c r="G705" s="33" cm="1">
        <f t="array" ref="G705">RAND()*6</f>
        <v>1.65298481163708</v>
      </c>
      <c r="H705" s="34"/>
      <c r="I705" s="31"/>
      <c r="J705" s="32"/>
    </row>
    <row r="706" ht="16" customHeight="1">
      <c r="A706" t="s" s="26">
        <v>1758</v>
      </c>
      <c r="B706" t="s" s="27">
        <v>41</v>
      </c>
      <c r="C706" t="s" s="27">
        <v>838</v>
      </c>
      <c r="D706" t="s" s="27">
        <v>1759</v>
      </c>
      <c r="E706" t="s" s="27">
        <v>351</v>
      </c>
      <c r="F706" t="s" s="27">
        <v>1471</v>
      </c>
      <c r="G706" s="33" cm="1">
        <f t="array" ref="G706">RAND()*6</f>
        <v>4.63967023239535</v>
      </c>
      <c r="H706" s="34"/>
      <c r="I706" s="31"/>
      <c r="J706" s="32"/>
    </row>
    <row r="707" ht="16" customHeight="1">
      <c r="A707" t="s" s="26">
        <v>1760</v>
      </c>
      <c r="B707" t="s" s="27">
        <v>41</v>
      </c>
      <c r="C707" t="s" s="27">
        <v>838</v>
      </c>
      <c r="D707" t="s" s="27">
        <v>1761</v>
      </c>
      <c r="E707" t="s" s="27">
        <v>354</v>
      </c>
      <c r="F707" t="s" s="27">
        <v>1471</v>
      </c>
      <c r="G707" s="33" cm="1">
        <f t="array" ref="G707">RAND()*6</f>
        <v>5.45765346325131</v>
      </c>
      <c r="H707" s="34"/>
      <c r="I707" s="31"/>
      <c r="J707" s="32"/>
    </row>
    <row r="708" ht="16" customHeight="1">
      <c r="A708" t="s" s="26">
        <v>1762</v>
      </c>
      <c r="B708" t="s" s="27">
        <v>41</v>
      </c>
      <c r="C708" t="s" s="27">
        <v>838</v>
      </c>
      <c r="D708" t="s" s="27">
        <v>1763</v>
      </c>
      <c r="E708" t="s" s="27">
        <v>357</v>
      </c>
      <c r="F708" t="s" s="27">
        <v>1471</v>
      </c>
      <c r="G708" s="33" cm="1">
        <f t="array" ref="G708">RAND()*6</f>
        <v>0.583951911356241</v>
      </c>
      <c r="H708" s="34"/>
      <c r="I708" s="31"/>
      <c r="J708" s="32"/>
    </row>
    <row r="709" ht="16" customHeight="1">
      <c r="A709" t="s" s="26">
        <v>1764</v>
      </c>
      <c r="B709" t="s" s="27">
        <v>41</v>
      </c>
      <c r="C709" t="s" s="27">
        <v>423</v>
      </c>
      <c r="D709" t="s" s="27">
        <v>1765</v>
      </c>
      <c r="E709" t="s" s="27">
        <v>360</v>
      </c>
      <c r="F709" t="s" s="27">
        <v>1471</v>
      </c>
      <c r="G709" s="33" cm="1">
        <f t="array" ref="G709">RAND()*6</f>
        <v>0.387069244695173</v>
      </c>
      <c r="H709" s="34"/>
      <c r="I709" s="31"/>
      <c r="J709" s="32"/>
    </row>
    <row r="710" ht="16" customHeight="1">
      <c r="A710" t="s" s="26">
        <v>1766</v>
      </c>
      <c r="B710" t="s" s="27">
        <v>41</v>
      </c>
      <c r="C710" t="s" s="27">
        <v>838</v>
      </c>
      <c r="D710" t="s" s="27">
        <v>1767</v>
      </c>
      <c r="E710" t="s" s="27">
        <v>360</v>
      </c>
      <c r="F710" t="s" s="27">
        <v>1471</v>
      </c>
      <c r="G710" s="33" cm="1">
        <f t="array" ref="G710">RAND()*6</f>
        <v>0.0253949668655499</v>
      </c>
      <c r="H710" s="34"/>
      <c r="I710" s="31"/>
      <c r="J710" s="32"/>
    </row>
    <row r="711" ht="16" customHeight="1">
      <c r="A711" t="s" s="26">
        <v>1768</v>
      </c>
      <c r="B711" t="s" s="27">
        <v>41</v>
      </c>
      <c r="C711" t="s" s="27">
        <v>57</v>
      </c>
      <c r="D711" t="s" s="27">
        <v>1769</v>
      </c>
      <c r="E711" t="s" s="27">
        <v>362</v>
      </c>
      <c r="F711" t="s" s="27">
        <v>1471</v>
      </c>
      <c r="G711" s="33" cm="1">
        <f t="array" ref="G711">RAND()*6</f>
        <v>4.18641217134517</v>
      </c>
      <c r="H711" s="34"/>
      <c r="I711" s="31"/>
      <c r="J711" s="32"/>
    </row>
    <row r="712" ht="16" customHeight="1">
      <c r="A712" t="s" s="26">
        <v>1770</v>
      </c>
      <c r="B712" t="s" s="27">
        <v>41</v>
      </c>
      <c r="C712" t="s" s="27">
        <v>838</v>
      </c>
      <c r="D712" t="s" s="27">
        <v>1771</v>
      </c>
      <c r="E712" t="s" s="27">
        <v>362</v>
      </c>
      <c r="F712" t="s" s="27">
        <v>1471</v>
      </c>
      <c r="G712" s="33" cm="1">
        <f t="array" ref="G712">RAND()*6</f>
        <v>4.84061165019005</v>
      </c>
      <c r="H712" s="34"/>
      <c r="I712" s="31"/>
      <c r="J712" s="32"/>
    </row>
    <row r="713" ht="16" customHeight="1">
      <c r="A713" t="s" s="26">
        <v>1772</v>
      </c>
      <c r="B713" t="s" s="27">
        <v>41</v>
      </c>
      <c r="C713" t="s" s="27">
        <v>423</v>
      </c>
      <c r="D713" t="s" s="27">
        <v>1773</v>
      </c>
      <c r="E713" t="s" s="27">
        <v>365</v>
      </c>
      <c r="F713" t="s" s="27">
        <v>1471</v>
      </c>
      <c r="G713" s="33" cm="1">
        <f t="array" ref="G713">RAND()*6</f>
        <v>4.80769785155612</v>
      </c>
      <c r="H713" s="34"/>
      <c r="I713" s="31"/>
      <c r="J713" s="32"/>
    </row>
    <row r="714" ht="16" customHeight="1">
      <c r="A714" t="s" s="26">
        <v>1774</v>
      </c>
      <c r="B714" t="s" s="27">
        <v>41</v>
      </c>
      <c r="C714" t="s" s="27">
        <v>423</v>
      </c>
      <c r="D714" t="s" s="27">
        <v>1775</v>
      </c>
      <c r="E714" t="s" s="27">
        <v>368</v>
      </c>
      <c r="F714" t="s" s="27">
        <v>1471</v>
      </c>
      <c r="G714" s="33" cm="1">
        <f t="array" ref="G714">RAND()*6</f>
        <v>4.5916052882949</v>
      </c>
      <c r="H714" s="34"/>
      <c r="I714" s="31"/>
      <c r="J714" s="32"/>
    </row>
    <row r="715" ht="16" customHeight="1">
      <c r="A715" t="s" s="26">
        <v>1776</v>
      </c>
      <c r="B715" t="s" s="27">
        <v>41</v>
      </c>
      <c r="C715" t="s" s="27">
        <v>42</v>
      </c>
      <c r="D715" t="s" s="27">
        <v>1777</v>
      </c>
      <c r="E715" t="s" s="27">
        <v>371</v>
      </c>
      <c r="F715" t="s" s="27">
        <v>1471</v>
      </c>
      <c r="G715" s="33"/>
      <c r="H715" s="34"/>
      <c r="I715" s="31"/>
      <c r="J715" s="32"/>
    </row>
    <row r="716" ht="16" customHeight="1">
      <c r="A716" t="s" s="26">
        <v>1778</v>
      </c>
      <c r="B716" t="s" s="27">
        <v>41</v>
      </c>
      <c r="C716" t="s" s="27">
        <v>838</v>
      </c>
      <c r="D716" t="s" s="27">
        <v>1779</v>
      </c>
      <c r="E716" t="s" s="27">
        <v>374</v>
      </c>
      <c r="F716" t="s" s="27">
        <v>1471</v>
      </c>
      <c r="G716" s="33"/>
      <c r="H716" s="34"/>
      <c r="I716" s="31"/>
      <c r="J716" s="32"/>
    </row>
    <row r="717" ht="16" customHeight="1">
      <c r="A717" t="s" s="26">
        <v>1780</v>
      </c>
      <c r="B717" t="s" s="27">
        <v>41</v>
      </c>
      <c r="C717" t="s" s="27">
        <v>838</v>
      </c>
      <c r="D717" t="s" s="27">
        <v>1781</v>
      </c>
      <c r="E717" t="s" s="27">
        <v>377</v>
      </c>
      <c r="F717" t="s" s="27">
        <v>1471</v>
      </c>
      <c r="G717" s="33"/>
      <c r="H717" s="34"/>
      <c r="I717" s="31"/>
      <c r="J717" s="32"/>
    </row>
    <row r="718" ht="16" customHeight="1">
      <c r="A718" t="s" s="26">
        <v>1782</v>
      </c>
      <c r="B718" t="s" s="27">
        <v>41</v>
      </c>
      <c r="C718" t="s" s="27">
        <v>42</v>
      </c>
      <c r="D718" t="s" s="27">
        <v>1783</v>
      </c>
      <c r="E718" t="s" s="27">
        <v>377</v>
      </c>
      <c r="F718" t="s" s="27">
        <v>1471</v>
      </c>
      <c r="G718" s="33"/>
      <c r="H718" s="34"/>
      <c r="I718" s="31"/>
      <c r="J718" s="32"/>
    </row>
    <row r="719" ht="16" customHeight="1">
      <c r="A719" t="s" s="26">
        <v>1784</v>
      </c>
      <c r="B719" t="s" s="27">
        <v>41</v>
      </c>
      <c r="C719" t="s" s="27">
        <v>838</v>
      </c>
      <c r="D719" t="s" s="27">
        <v>1785</v>
      </c>
      <c r="E719" t="s" s="27">
        <v>380</v>
      </c>
      <c r="F719" t="s" s="27">
        <v>1471</v>
      </c>
      <c r="G719" s="33"/>
      <c r="H719" s="34"/>
      <c r="I719" s="31"/>
      <c r="J719" s="32"/>
    </row>
    <row r="720" ht="16" customHeight="1">
      <c r="A720" t="s" s="26">
        <v>1786</v>
      </c>
      <c r="B720" t="s" s="27">
        <v>41</v>
      </c>
      <c r="C720" t="s" s="27">
        <v>838</v>
      </c>
      <c r="D720" t="s" s="27">
        <v>1787</v>
      </c>
      <c r="E720" t="s" s="27">
        <v>380</v>
      </c>
      <c r="F720" t="s" s="27">
        <v>1471</v>
      </c>
      <c r="G720" s="33"/>
      <c r="H720" s="34"/>
      <c r="I720" s="31"/>
      <c r="J720" s="32"/>
    </row>
    <row r="721" ht="16" customHeight="1">
      <c r="A721" t="s" s="26">
        <v>1788</v>
      </c>
      <c r="B721" t="s" s="27">
        <v>41</v>
      </c>
      <c r="C721" t="s" s="27">
        <v>838</v>
      </c>
      <c r="D721" t="s" s="27">
        <v>1483</v>
      </c>
      <c r="E721" t="s" s="27">
        <v>383</v>
      </c>
      <c r="F721" t="s" s="27">
        <v>1471</v>
      </c>
      <c r="G721" s="33"/>
      <c r="H721" s="34"/>
      <c r="I721" s="31"/>
      <c r="J721" s="32"/>
    </row>
    <row r="722" ht="16" customHeight="1">
      <c r="A722" t="s" s="26">
        <v>1789</v>
      </c>
      <c r="B722" t="s" s="27">
        <v>41</v>
      </c>
      <c r="C722" t="s" s="27">
        <v>838</v>
      </c>
      <c r="D722" t="s" s="27">
        <v>1790</v>
      </c>
      <c r="E722" t="s" s="27">
        <v>389</v>
      </c>
      <c r="F722" t="s" s="27">
        <v>1471</v>
      </c>
      <c r="G722" s="33"/>
      <c r="H722" s="34"/>
      <c r="I722" s="31"/>
      <c r="J722" s="32"/>
    </row>
    <row r="723" ht="16" customHeight="1">
      <c r="A723" t="s" s="26">
        <v>1791</v>
      </c>
      <c r="B723" t="s" s="27">
        <v>41</v>
      </c>
      <c r="C723" t="s" s="27">
        <v>838</v>
      </c>
      <c r="D723" t="s" s="27">
        <v>1792</v>
      </c>
      <c r="E723" t="s" s="27">
        <v>392</v>
      </c>
      <c r="F723" t="s" s="27">
        <v>1471</v>
      </c>
      <c r="G723" s="33"/>
      <c r="H723" s="34"/>
      <c r="I723" s="31"/>
      <c r="J723" s="32"/>
    </row>
    <row r="724" ht="16" customHeight="1">
      <c r="A724" t="s" s="26">
        <v>1793</v>
      </c>
      <c r="B724" t="s" s="27">
        <v>41</v>
      </c>
      <c r="C724" t="s" s="27">
        <v>838</v>
      </c>
      <c r="D724" t="s" s="27">
        <v>1794</v>
      </c>
      <c r="E724" t="s" s="27">
        <v>396</v>
      </c>
      <c r="F724" t="s" s="27">
        <v>1471</v>
      </c>
      <c r="G724" s="33"/>
      <c r="H724" s="34"/>
      <c r="I724" s="31"/>
      <c r="J724" s="32"/>
    </row>
    <row r="725" ht="16" customHeight="1">
      <c r="A725" t="s" s="26">
        <v>1795</v>
      </c>
      <c r="B725" t="s" s="27">
        <v>41</v>
      </c>
      <c r="C725" t="s" s="27">
        <v>838</v>
      </c>
      <c r="D725" t="s" s="27">
        <v>1796</v>
      </c>
      <c r="E725" t="s" s="27">
        <v>396</v>
      </c>
      <c r="F725" t="s" s="27">
        <v>1471</v>
      </c>
      <c r="G725" s="33"/>
      <c r="H725" s="34"/>
      <c r="I725" s="31"/>
      <c r="J725" s="32"/>
    </row>
    <row r="726" ht="16" customHeight="1">
      <c r="A726" t="s" s="26">
        <v>1797</v>
      </c>
      <c r="B726" t="s" s="27">
        <v>41</v>
      </c>
      <c r="C726" t="s" s="27">
        <v>57</v>
      </c>
      <c r="D726" t="s" s="27">
        <v>1798</v>
      </c>
      <c r="E726" t="s" s="27">
        <v>399</v>
      </c>
      <c r="F726" t="s" s="27">
        <v>1471</v>
      </c>
      <c r="G726" s="33"/>
      <c r="H726" s="34"/>
      <c r="I726" s="31"/>
      <c r="J726" s="32"/>
    </row>
    <row r="727" ht="16" customHeight="1">
      <c r="A727" t="s" s="26">
        <v>1799</v>
      </c>
      <c r="B727" t="s" s="27">
        <v>41</v>
      </c>
      <c r="C727" t="s" s="27">
        <v>42</v>
      </c>
      <c r="D727" t="s" s="27">
        <v>1800</v>
      </c>
      <c r="E727" t="s" s="27">
        <v>399</v>
      </c>
      <c r="F727" t="s" s="27">
        <v>1471</v>
      </c>
      <c r="G727" s="33"/>
      <c r="H727" s="34"/>
      <c r="I727" s="31"/>
      <c r="J727" s="32"/>
    </row>
    <row r="728" ht="16" customHeight="1">
      <c r="A728" t="s" s="26">
        <v>1801</v>
      </c>
      <c r="B728" t="s" s="27">
        <v>41</v>
      </c>
      <c r="C728" t="s" s="27">
        <v>42</v>
      </c>
      <c r="D728" t="s" s="27">
        <v>1802</v>
      </c>
      <c r="E728" t="s" s="27">
        <v>402</v>
      </c>
      <c r="F728" t="s" s="27">
        <v>1471</v>
      </c>
      <c r="G728" s="33"/>
      <c r="H728" s="34"/>
      <c r="I728" s="31"/>
      <c r="J728" s="32"/>
    </row>
    <row r="729" ht="16" customHeight="1">
      <c r="A729" t="s" s="26">
        <v>1803</v>
      </c>
      <c r="B729" t="s" s="27">
        <v>41</v>
      </c>
      <c r="C729" t="s" s="27">
        <v>42</v>
      </c>
      <c r="D729" t="s" s="27">
        <v>1804</v>
      </c>
      <c r="E729" t="s" s="27">
        <v>406</v>
      </c>
      <c r="F729" t="s" s="27">
        <v>1471</v>
      </c>
      <c r="G729" s="33"/>
      <c r="H729" s="34"/>
      <c r="I729" s="31"/>
      <c r="J729" s="32"/>
    </row>
    <row r="730" ht="16" customHeight="1">
      <c r="A730" t="s" s="26">
        <v>1805</v>
      </c>
      <c r="B730" t="s" s="27">
        <v>41</v>
      </c>
      <c r="C730" t="s" s="27">
        <v>838</v>
      </c>
      <c r="D730" t="s" s="27">
        <v>1806</v>
      </c>
      <c r="E730" t="s" s="27">
        <v>412</v>
      </c>
      <c r="F730" t="s" s="27">
        <v>1471</v>
      </c>
      <c r="G730" s="33"/>
      <c r="H730" s="34"/>
      <c r="I730" s="31"/>
      <c r="J730" s="32"/>
    </row>
    <row r="731" ht="16" customHeight="1">
      <c r="A731" t="s" s="26">
        <v>1807</v>
      </c>
      <c r="B731" t="s" s="27">
        <v>41</v>
      </c>
      <c r="C731" t="s" s="27">
        <v>838</v>
      </c>
      <c r="D731" t="s" s="27">
        <v>1808</v>
      </c>
      <c r="E731" t="s" s="27">
        <v>415</v>
      </c>
      <c r="F731" t="s" s="27">
        <v>1471</v>
      </c>
      <c r="G731" s="33"/>
      <c r="H731" s="34"/>
      <c r="I731" s="31"/>
      <c r="J731" s="32"/>
    </row>
    <row r="732" ht="16" customHeight="1">
      <c r="A732" t="s" s="26">
        <v>1809</v>
      </c>
      <c r="B732" t="s" s="27">
        <v>41</v>
      </c>
      <c r="C732" t="s" s="27">
        <v>838</v>
      </c>
      <c r="D732" t="s" s="27">
        <v>1810</v>
      </c>
      <c r="E732" t="s" s="27">
        <v>415</v>
      </c>
      <c r="F732" t="s" s="27">
        <v>1471</v>
      </c>
      <c r="G732" s="33"/>
      <c r="H732" s="34"/>
      <c r="I732" s="31"/>
      <c r="J732" s="32"/>
    </row>
    <row r="733" ht="16" customHeight="1">
      <c r="A733" t="s" s="26">
        <v>1811</v>
      </c>
      <c r="B733" t="s" s="27">
        <v>41</v>
      </c>
      <c r="C733" t="s" s="27">
        <v>838</v>
      </c>
      <c r="D733" t="s" s="27">
        <v>1812</v>
      </c>
      <c r="E733" t="s" s="27">
        <v>418</v>
      </c>
      <c r="F733" t="s" s="27">
        <v>1471</v>
      </c>
      <c r="G733" s="33"/>
      <c r="H733" s="34"/>
      <c r="I733" s="31"/>
      <c r="J733" s="32"/>
    </row>
    <row r="734" ht="16" customHeight="1">
      <c r="A734" t="s" s="26">
        <v>1813</v>
      </c>
      <c r="B734" t="s" s="27">
        <v>41</v>
      </c>
      <c r="C734" t="s" s="27">
        <v>423</v>
      </c>
      <c r="D734" t="s" s="27">
        <v>1814</v>
      </c>
      <c r="E734" t="s" s="27">
        <v>418</v>
      </c>
      <c r="F734" t="s" s="27">
        <v>1471</v>
      </c>
      <c r="G734" s="33"/>
      <c r="H734" s="34"/>
      <c r="I734" s="31"/>
      <c r="J734" s="32"/>
    </row>
    <row r="735" ht="16" customHeight="1">
      <c r="A735" t="s" s="26">
        <v>1815</v>
      </c>
      <c r="B735" t="s" s="27">
        <v>41</v>
      </c>
      <c r="C735" t="s" s="27">
        <v>838</v>
      </c>
      <c r="D735" t="s" s="27">
        <v>1816</v>
      </c>
      <c r="E735" t="s" s="27">
        <v>1141</v>
      </c>
      <c r="F735" t="s" s="27">
        <v>1471</v>
      </c>
      <c r="G735" s="33"/>
      <c r="H735" s="34"/>
      <c r="I735" s="31"/>
      <c r="J735" s="32"/>
    </row>
    <row r="736" ht="16" customHeight="1">
      <c r="A736" t="s" s="26">
        <v>1817</v>
      </c>
      <c r="B736" t="s" s="27">
        <v>41</v>
      </c>
      <c r="C736" t="s" s="27">
        <v>838</v>
      </c>
      <c r="D736" t="s" s="27">
        <v>1818</v>
      </c>
      <c r="E736" t="s" s="27">
        <v>421</v>
      </c>
      <c r="F736" t="s" s="27">
        <v>1471</v>
      </c>
      <c r="G736" s="33"/>
      <c r="H736" s="34"/>
      <c r="I736" s="31"/>
      <c r="J736" s="32"/>
    </row>
    <row r="737" ht="16" customHeight="1">
      <c r="A737" t="s" s="26">
        <v>1819</v>
      </c>
      <c r="B737" t="s" s="27">
        <v>41</v>
      </c>
      <c r="C737" s="35"/>
      <c r="D737" t="s" s="27">
        <v>1820</v>
      </c>
      <c r="E737" t="s" s="27">
        <v>425</v>
      </c>
      <c r="F737" t="s" s="27">
        <v>1471</v>
      </c>
      <c r="G737" s="33"/>
      <c r="H737" s="34"/>
      <c r="I737" s="31"/>
      <c r="J737" s="32"/>
    </row>
    <row r="738" ht="16" customHeight="1">
      <c r="A738" t="s" s="26">
        <v>1821</v>
      </c>
      <c r="B738" t="s" s="27">
        <v>41</v>
      </c>
      <c r="C738" t="s" s="27">
        <v>42</v>
      </c>
      <c r="D738" t="s" s="27">
        <v>1822</v>
      </c>
      <c r="E738" t="s" s="27">
        <v>428</v>
      </c>
      <c r="F738" t="s" s="27">
        <v>1471</v>
      </c>
      <c r="G738" s="33"/>
      <c r="H738" s="34"/>
      <c r="I738" s="31"/>
      <c r="J738" s="32"/>
    </row>
    <row r="739" ht="16" customHeight="1">
      <c r="A739" t="s" s="26">
        <v>1823</v>
      </c>
      <c r="B739" t="s" s="27">
        <v>41</v>
      </c>
      <c r="C739" t="s" s="27">
        <v>838</v>
      </c>
      <c r="D739" t="s" s="27">
        <v>1824</v>
      </c>
      <c r="E739" t="s" s="27">
        <v>431</v>
      </c>
      <c r="F739" t="s" s="27">
        <v>1471</v>
      </c>
      <c r="G739" s="33"/>
      <c r="H739" s="34"/>
      <c r="I739" s="31"/>
      <c r="J739" s="32"/>
    </row>
    <row r="740" ht="16" customHeight="1">
      <c r="A740" t="s" s="26">
        <v>1825</v>
      </c>
      <c r="B740" t="s" s="27">
        <v>41</v>
      </c>
      <c r="C740" t="s" s="27">
        <v>42</v>
      </c>
      <c r="D740" t="s" s="27">
        <v>1826</v>
      </c>
      <c r="E740" t="s" s="27">
        <v>431</v>
      </c>
      <c r="F740" t="s" s="27">
        <v>1471</v>
      </c>
      <c r="G740" s="33"/>
      <c r="H740" s="34"/>
      <c r="I740" s="31"/>
      <c r="J740" s="32"/>
    </row>
    <row r="741" ht="16" customHeight="1">
      <c r="A741" t="s" s="26">
        <v>1827</v>
      </c>
      <c r="B741" t="s" s="27">
        <v>41</v>
      </c>
      <c r="C741" t="s" s="27">
        <v>423</v>
      </c>
      <c r="D741" t="s" s="27">
        <v>1828</v>
      </c>
      <c r="E741" t="s" s="27">
        <v>435</v>
      </c>
      <c r="F741" t="s" s="27">
        <v>1471</v>
      </c>
      <c r="G741" s="33"/>
      <c r="H741" s="34"/>
      <c r="I741" s="31"/>
      <c r="J741" s="32"/>
    </row>
    <row r="742" ht="16" customHeight="1">
      <c r="A742" t="s" s="26">
        <v>1829</v>
      </c>
      <c r="B742" t="s" s="27">
        <v>41</v>
      </c>
      <c r="C742" t="s" s="27">
        <v>838</v>
      </c>
      <c r="D742" t="s" s="27">
        <v>1830</v>
      </c>
      <c r="E742" t="s" s="27">
        <v>435</v>
      </c>
      <c r="F742" t="s" s="27">
        <v>1471</v>
      </c>
      <c r="G742" s="33"/>
      <c r="H742" s="34"/>
      <c r="I742" s="31"/>
      <c r="J742" s="32"/>
    </row>
    <row r="743" ht="16" customHeight="1">
      <c r="A743" t="s" s="26">
        <v>1831</v>
      </c>
      <c r="B743" t="s" s="27">
        <v>41</v>
      </c>
      <c r="C743" t="s" s="27">
        <v>423</v>
      </c>
      <c r="D743" t="s" s="27">
        <v>1832</v>
      </c>
      <c r="E743" t="s" s="27">
        <v>438</v>
      </c>
      <c r="F743" t="s" s="27">
        <v>1471</v>
      </c>
      <c r="G743" s="33"/>
      <c r="H743" s="34"/>
      <c r="I743" s="31"/>
      <c r="J743" s="32"/>
    </row>
    <row r="744" ht="16" customHeight="1">
      <c r="A744" t="s" s="26">
        <v>1833</v>
      </c>
      <c r="B744" t="s" s="27">
        <v>41</v>
      </c>
      <c r="C744" t="s" s="27">
        <v>838</v>
      </c>
      <c r="D744" t="s" s="27">
        <v>1834</v>
      </c>
      <c r="E744" t="s" s="27">
        <v>441</v>
      </c>
      <c r="F744" t="s" s="27">
        <v>1471</v>
      </c>
      <c r="G744" s="33"/>
      <c r="H744" s="34"/>
      <c r="I744" s="31"/>
      <c r="J744" s="32"/>
    </row>
    <row r="745" ht="16" customHeight="1">
      <c r="A745" t="s" s="26">
        <v>1835</v>
      </c>
      <c r="B745" t="s" s="27">
        <v>41</v>
      </c>
      <c r="C745" t="s" s="27">
        <v>42</v>
      </c>
      <c r="D745" t="s" s="27">
        <v>1836</v>
      </c>
      <c r="E745" t="s" s="27">
        <v>444</v>
      </c>
      <c r="F745" t="s" s="27">
        <v>1471</v>
      </c>
      <c r="G745" s="33"/>
      <c r="H745" s="34"/>
      <c r="I745" s="31"/>
      <c r="J745" s="32"/>
    </row>
    <row r="746" ht="16" customHeight="1">
      <c r="A746" t="s" s="26">
        <v>1837</v>
      </c>
      <c r="B746" t="s" s="27">
        <v>41</v>
      </c>
      <c r="C746" t="s" s="27">
        <v>838</v>
      </c>
      <c r="D746" t="s" s="27">
        <v>1838</v>
      </c>
      <c r="E746" t="s" s="27">
        <v>447</v>
      </c>
      <c r="F746" t="s" s="27">
        <v>1471</v>
      </c>
      <c r="G746" s="33"/>
      <c r="H746" s="34"/>
      <c r="I746" s="31"/>
      <c r="J746" s="32"/>
    </row>
    <row r="747" ht="16" customHeight="1">
      <c r="A747" t="s" s="26">
        <v>1839</v>
      </c>
      <c r="B747" t="s" s="27">
        <v>41</v>
      </c>
      <c r="C747" t="s" s="27">
        <v>838</v>
      </c>
      <c r="D747" t="s" s="27">
        <v>1840</v>
      </c>
      <c r="E747" t="s" s="27">
        <v>451</v>
      </c>
      <c r="F747" t="s" s="27">
        <v>1471</v>
      </c>
      <c r="G747" s="33"/>
      <c r="H747" s="34"/>
      <c r="I747" s="31"/>
      <c r="J747" s="32"/>
    </row>
    <row r="748" ht="16" customHeight="1">
      <c r="A748" t="s" s="26">
        <v>1841</v>
      </c>
      <c r="B748" t="s" s="27">
        <v>41</v>
      </c>
      <c r="C748" t="s" s="27">
        <v>838</v>
      </c>
      <c r="D748" t="s" s="27">
        <v>1842</v>
      </c>
      <c r="E748" t="s" s="27">
        <v>451</v>
      </c>
      <c r="F748" t="s" s="27">
        <v>1471</v>
      </c>
      <c r="G748" s="33"/>
      <c r="H748" s="34"/>
      <c r="I748" s="31"/>
      <c r="J748" s="32"/>
    </row>
    <row r="749" ht="16" customHeight="1">
      <c r="A749" t="s" s="26">
        <v>1843</v>
      </c>
      <c r="B749" t="s" s="27">
        <v>41</v>
      </c>
      <c r="C749" t="s" s="27">
        <v>838</v>
      </c>
      <c r="D749" t="s" s="27">
        <v>1844</v>
      </c>
      <c r="E749" t="s" s="27">
        <v>454</v>
      </c>
      <c r="F749" t="s" s="27">
        <v>1471</v>
      </c>
      <c r="G749" s="33"/>
      <c r="H749" s="34"/>
      <c r="I749" s="31"/>
      <c r="J749" s="32"/>
    </row>
    <row r="750" ht="16" customHeight="1">
      <c r="A750" t="s" s="26">
        <v>1845</v>
      </c>
      <c r="B750" t="s" s="27">
        <v>41</v>
      </c>
      <c r="C750" t="s" s="27">
        <v>838</v>
      </c>
      <c r="D750" t="s" s="27">
        <v>1846</v>
      </c>
      <c r="E750" t="s" s="27">
        <v>454</v>
      </c>
      <c r="F750" t="s" s="27">
        <v>1471</v>
      </c>
      <c r="G750" s="33"/>
      <c r="H750" s="34"/>
      <c r="I750" s="31"/>
      <c r="J750" s="32"/>
    </row>
    <row r="751" ht="16" customHeight="1">
      <c r="A751" t="s" s="26">
        <v>1847</v>
      </c>
      <c r="B751" t="s" s="27">
        <v>41</v>
      </c>
      <c r="C751" t="s" s="27">
        <v>838</v>
      </c>
      <c r="D751" t="s" s="27">
        <v>1848</v>
      </c>
      <c r="E751" t="s" s="27">
        <v>457</v>
      </c>
      <c r="F751" t="s" s="27">
        <v>1471</v>
      </c>
      <c r="G751" s="33"/>
      <c r="H751" s="34"/>
      <c r="I751" s="31"/>
      <c r="J751" s="32"/>
    </row>
    <row r="752" ht="16" customHeight="1">
      <c r="A752" t="s" s="26">
        <v>1849</v>
      </c>
      <c r="B752" t="s" s="27">
        <v>41</v>
      </c>
      <c r="C752" t="s" s="27">
        <v>838</v>
      </c>
      <c r="D752" t="s" s="27">
        <v>1850</v>
      </c>
      <c r="E752" t="s" s="27">
        <v>460</v>
      </c>
      <c r="F752" t="s" s="27">
        <v>1471</v>
      </c>
      <c r="G752" s="33"/>
      <c r="H752" s="34"/>
      <c r="I752" s="31"/>
      <c r="J752" s="32"/>
    </row>
    <row r="753" ht="16" customHeight="1">
      <c r="A753" t="s" s="26">
        <v>1851</v>
      </c>
      <c r="B753" t="s" s="27">
        <v>41</v>
      </c>
      <c r="C753" t="s" s="27">
        <v>42</v>
      </c>
      <c r="D753" t="s" s="27">
        <v>1852</v>
      </c>
      <c r="E753" t="s" s="27">
        <v>463</v>
      </c>
      <c r="F753" t="s" s="27">
        <v>1471</v>
      </c>
      <c r="G753" s="33"/>
      <c r="H753" s="34"/>
      <c r="I753" s="31"/>
      <c r="J753" s="32"/>
    </row>
    <row r="754" ht="16" customHeight="1">
      <c r="A754" t="s" s="26">
        <v>1853</v>
      </c>
      <c r="B754" t="s" s="27">
        <v>41</v>
      </c>
      <c r="C754" t="s" s="27">
        <v>838</v>
      </c>
      <c r="D754" t="s" s="27">
        <v>1854</v>
      </c>
      <c r="E754" t="s" s="27">
        <v>466</v>
      </c>
      <c r="F754" t="s" s="27">
        <v>1471</v>
      </c>
      <c r="G754" s="33"/>
      <c r="H754" s="34"/>
      <c r="I754" s="31"/>
      <c r="J754" s="32"/>
    </row>
    <row r="755" ht="16" customHeight="1">
      <c r="A755" t="s" s="26">
        <v>1855</v>
      </c>
      <c r="B755" t="s" s="27">
        <v>41</v>
      </c>
      <c r="C755" t="s" s="27">
        <v>838</v>
      </c>
      <c r="D755" t="s" s="27">
        <v>1856</v>
      </c>
      <c r="E755" t="s" s="27">
        <v>466</v>
      </c>
      <c r="F755" t="s" s="27">
        <v>1471</v>
      </c>
      <c r="G755" s="33"/>
      <c r="H755" s="34"/>
      <c r="I755" s="31"/>
      <c r="J755" s="32"/>
    </row>
    <row r="756" ht="16" customHeight="1">
      <c r="A756" t="s" s="26">
        <v>1857</v>
      </c>
      <c r="B756" t="s" s="27">
        <v>41</v>
      </c>
      <c r="C756" t="s" s="27">
        <v>42</v>
      </c>
      <c r="D756" t="s" s="27">
        <v>1858</v>
      </c>
      <c r="E756" t="s" s="27">
        <v>469</v>
      </c>
      <c r="F756" t="s" s="27">
        <v>1471</v>
      </c>
      <c r="G756" s="33"/>
      <c r="H756" s="34"/>
      <c r="I756" s="31"/>
      <c r="J756" s="32"/>
    </row>
    <row r="757" ht="16" customHeight="1">
      <c r="A757" t="s" s="26">
        <v>1859</v>
      </c>
      <c r="B757" t="s" s="27">
        <v>41</v>
      </c>
      <c r="C757" t="s" s="27">
        <v>838</v>
      </c>
      <c r="D757" t="s" s="27">
        <v>1860</v>
      </c>
      <c r="E757" t="s" s="27">
        <v>469</v>
      </c>
      <c r="F757" t="s" s="27">
        <v>1471</v>
      </c>
      <c r="G757" s="33"/>
      <c r="H757" s="34"/>
      <c r="I757" s="31"/>
      <c r="J757" s="32"/>
    </row>
    <row r="758" ht="16" customHeight="1">
      <c r="A758" t="s" s="26">
        <v>1861</v>
      </c>
      <c r="B758" t="s" s="27">
        <v>41</v>
      </c>
      <c r="C758" t="s" s="27">
        <v>42</v>
      </c>
      <c r="D758" t="s" s="27">
        <v>1862</v>
      </c>
      <c r="E758" t="s" s="27">
        <v>472</v>
      </c>
      <c r="F758" t="s" s="27">
        <v>1471</v>
      </c>
      <c r="G758" s="33"/>
      <c r="H758" s="34"/>
      <c r="I758" s="31"/>
      <c r="J758" s="32"/>
    </row>
    <row r="759" ht="16" customHeight="1">
      <c r="A759" t="s" s="26">
        <v>1863</v>
      </c>
      <c r="B759" t="s" s="27">
        <v>41</v>
      </c>
      <c r="C759" t="s" s="27">
        <v>42</v>
      </c>
      <c r="D759" t="s" s="27">
        <v>1864</v>
      </c>
      <c r="E759" t="s" s="27">
        <v>1187</v>
      </c>
      <c r="F759" t="s" s="27">
        <v>1471</v>
      </c>
      <c r="G759" s="33"/>
      <c r="H759" s="34"/>
      <c r="I759" s="31"/>
      <c r="J759" s="32"/>
    </row>
    <row r="760" ht="16" customHeight="1">
      <c r="A760" t="s" s="26">
        <v>1865</v>
      </c>
      <c r="B760" t="s" s="27">
        <v>41</v>
      </c>
      <c r="C760" t="s" s="27">
        <v>42</v>
      </c>
      <c r="D760" t="s" s="27">
        <v>1866</v>
      </c>
      <c r="E760" t="s" s="27">
        <v>478</v>
      </c>
      <c r="F760" t="s" s="27">
        <v>1471</v>
      </c>
      <c r="G760" s="33"/>
      <c r="H760" s="34"/>
      <c r="I760" s="31"/>
      <c r="J760" s="32"/>
    </row>
    <row r="761" ht="24" customHeight="1">
      <c r="A761" t="s" s="26">
        <v>1867</v>
      </c>
      <c r="B761" t="s" s="27">
        <v>41</v>
      </c>
      <c r="C761" t="s" s="27">
        <v>42</v>
      </c>
      <c r="D761" t="s" s="27">
        <v>1868</v>
      </c>
      <c r="E761" t="s" s="27">
        <v>481</v>
      </c>
      <c r="F761" t="s" s="27">
        <v>1471</v>
      </c>
      <c r="G761" s="33"/>
      <c r="H761" s="34"/>
      <c r="I761" s="31"/>
      <c r="J761" s="32"/>
    </row>
    <row r="762" ht="16" customHeight="1">
      <c r="A762" t="s" s="26">
        <v>1869</v>
      </c>
      <c r="B762" t="s" s="27">
        <v>41</v>
      </c>
      <c r="C762" t="s" s="27">
        <v>42</v>
      </c>
      <c r="D762" t="s" s="27">
        <v>1870</v>
      </c>
      <c r="E762" t="s" s="27">
        <v>484</v>
      </c>
      <c r="F762" t="s" s="27">
        <v>1471</v>
      </c>
      <c r="G762" s="33"/>
      <c r="H762" s="34"/>
      <c r="I762" s="31"/>
      <c r="J762" s="32"/>
    </row>
    <row r="763" ht="24" customHeight="1">
      <c r="A763" t="s" s="26">
        <v>1871</v>
      </c>
      <c r="B763" t="s" s="27">
        <v>41</v>
      </c>
      <c r="C763" t="s" s="27">
        <v>42</v>
      </c>
      <c r="D763" t="s" s="27">
        <v>1872</v>
      </c>
      <c r="E763" t="s" s="27">
        <v>487</v>
      </c>
      <c r="F763" t="s" s="27">
        <v>1471</v>
      </c>
      <c r="G763" s="33"/>
      <c r="H763" s="34"/>
      <c r="I763" s="31"/>
      <c r="J763" s="32"/>
    </row>
    <row r="764" ht="16" customHeight="1">
      <c r="A764" t="s" s="26">
        <v>1873</v>
      </c>
      <c r="B764" t="s" s="27">
        <v>41</v>
      </c>
      <c r="C764" t="s" s="27">
        <v>838</v>
      </c>
      <c r="D764" t="s" s="27">
        <v>1874</v>
      </c>
      <c r="E764" t="s" s="27">
        <v>490</v>
      </c>
      <c r="F764" t="s" s="27">
        <v>1471</v>
      </c>
      <c r="G764" s="33"/>
      <c r="H764" s="34"/>
      <c r="I764" s="31"/>
      <c r="J764" s="32"/>
    </row>
    <row r="765" ht="16" customHeight="1">
      <c r="A765" t="s" s="26">
        <v>1875</v>
      </c>
      <c r="B765" t="s" s="27">
        <v>41</v>
      </c>
      <c r="C765" t="s" s="27">
        <v>42</v>
      </c>
      <c r="D765" t="s" s="27">
        <v>1876</v>
      </c>
      <c r="E765" t="s" s="27">
        <v>493</v>
      </c>
      <c r="F765" t="s" s="27">
        <v>1471</v>
      </c>
      <c r="G765" s="33"/>
      <c r="H765" s="34"/>
      <c r="I765" s="31"/>
      <c r="J765" s="32"/>
    </row>
    <row r="766" ht="16" customHeight="1">
      <c r="A766" t="s" s="26">
        <v>1877</v>
      </c>
      <c r="B766" t="s" s="27">
        <v>41</v>
      </c>
      <c r="C766" t="s" s="27">
        <v>423</v>
      </c>
      <c r="D766" t="s" s="27">
        <v>1878</v>
      </c>
      <c r="E766" t="s" s="27">
        <v>496</v>
      </c>
      <c r="F766" t="s" s="27">
        <v>1471</v>
      </c>
      <c r="G766" s="33"/>
      <c r="H766" s="34"/>
      <c r="I766" s="31"/>
      <c r="J766" s="32"/>
    </row>
    <row r="767" ht="16" customHeight="1">
      <c r="A767" t="s" s="26">
        <v>1879</v>
      </c>
      <c r="B767" t="s" s="27">
        <v>41</v>
      </c>
      <c r="C767" t="s" s="27">
        <v>42</v>
      </c>
      <c r="D767" t="s" s="27">
        <v>1880</v>
      </c>
      <c r="E767" t="s" s="27">
        <v>499</v>
      </c>
      <c r="F767" t="s" s="27">
        <v>1471</v>
      </c>
      <c r="G767" s="33"/>
      <c r="H767" s="34"/>
      <c r="I767" s="31"/>
      <c r="J767" s="32"/>
    </row>
    <row r="768" ht="16" customHeight="1">
      <c r="A768" t="s" s="26">
        <v>1881</v>
      </c>
      <c r="B768" t="s" s="27">
        <v>41</v>
      </c>
      <c r="C768" t="s" s="27">
        <v>42</v>
      </c>
      <c r="D768" t="s" s="27">
        <v>1882</v>
      </c>
      <c r="E768" t="s" s="27">
        <v>499</v>
      </c>
      <c r="F768" t="s" s="27">
        <v>1471</v>
      </c>
      <c r="G768" s="33"/>
      <c r="H768" s="34"/>
      <c r="I768" s="31"/>
      <c r="J768" s="32"/>
    </row>
    <row r="769" ht="16" customHeight="1">
      <c r="A769" t="s" s="26">
        <v>1883</v>
      </c>
      <c r="B769" t="s" s="27">
        <v>41</v>
      </c>
      <c r="C769" t="s" s="27">
        <v>838</v>
      </c>
      <c r="D769" t="s" s="27">
        <v>1884</v>
      </c>
      <c r="E769" t="s" s="27">
        <v>502</v>
      </c>
      <c r="F769" t="s" s="27">
        <v>1471</v>
      </c>
      <c r="G769" s="33"/>
      <c r="H769" s="34"/>
      <c r="I769" s="31"/>
      <c r="J769" s="32"/>
    </row>
    <row r="770" ht="16" customHeight="1">
      <c r="A770" t="s" s="26">
        <v>1885</v>
      </c>
      <c r="B770" t="s" s="27">
        <v>41</v>
      </c>
      <c r="C770" t="s" s="27">
        <v>838</v>
      </c>
      <c r="D770" t="s" s="27">
        <v>1886</v>
      </c>
      <c r="E770" t="s" s="27">
        <v>502</v>
      </c>
      <c r="F770" t="s" s="27">
        <v>1471</v>
      </c>
      <c r="G770" s="33"/>
      <c r="H770" s="34"/>
      <c r="I770" s="31"/>
      <c r="J770" s="32"/>
    </row>
    <row r="771" ht="16" customHeight="1">
      <c r="A771" t="s" s="26">
        <v>1887</v>
      </c>
      <c r="B771" t="s" s="27">
        <v>41</v>
      </c>
      <c r="C771" t="s" s="27">
        <v>838</v>
      </c>
      <c r="D771" t="s" s="27">
        <v>1888</v>
      </c>
      <c r="E771" t="s" s="27">
        <v>505</v>
      </c>
      <c r="F771" t="s" s="27">
        <v>1471</v>
      </c>
      <c r="G771" s="33"/>
      <c r="H771" s="34"/>
      <c r="I771" s="31"/>
      <c r="J771" s="32"/>
    </row>
    <row r="772" ht="16" customHeight="1">
      <c r="A772" t="s" s="26">
        <v>1889</v>
      </c>
      <c r="B772" t="s" s="27">
        <v>41</v>
      </c>
      <c r="C772" t="s" s="27">
        <v>838</v>
      </c>
      <c r="D772" t="s" s="27">
        <v>1890</v>
      </c>
      <c r="E772" t="s" s="27">
        <v>508</v>
      </c>
      <c r="F772" t="s" s="27">
        <v>1471</v>
      </c>
      <c r="G772" s="33"/>
      <c r="H772" s="34"/>
      <c r="I772" s="31"/>
      <c r="J772" s="32"/>
    </row>
    <row r="773" ht="16" customHeight="1">
      <c r="A773" t="s" s="26">
        <v>1891</v>
      </c>
      <c r="B773" t="s" s="27">
        <v>41</v>
      </c>
      <c r="C773" t="s" s="27">
        <v>449</v>
      </c>
      <c r="D773" t="s" s="27">
        <v>1892</v>
      </c>
      <c r="E773" t="s" s="27">
        <v>511</v>
      </c>
      <c r="F773" t="s" s="27">
        <v>1471</v>
      </c>
      <c r="G773" s="33"/>
      <c r="H773" s="34"/>
      <c r="I773" s="31"/>
      <c r="J773" s="32"/>
    </row>
    <row r="774" ht="16" customHeight="1">
      <c r="A774" t="s" s="26">
        <v>1893</v>
      </c>
      <c r="B774" t="s" s="27">
        <v>41</v>
      </c>
      <c r="C774" t="s" s="27">
        <v>42</v>
      </c>
      <c r="D774" t="s" s="27">
        <v>1894</v>
      </c>
      <c r="E774" t="s" s="27">
        <v>514</v>
      </c>
      <c r="F774" t="s" s="27">
        <v>1471</v>
      </c>
      <c r="G774" s="33"/>
      <c r="H774" s="34"/>
      <c r="I774" s="31"/>
      <c r="J774" s="32"/>
    </row>
    <row r="775" ht="16" customHeight="1">
      <c r="A775" t="s" s="26">
        <v>1895</v>
      </c>
      <c r="B775" t="s" s="27">
        <v>41</v>
      </c>
      <c r="C775" t="s" s="27">
        <v>42</v>
      </c>
      <c r="D775" t="s" s="27">
        <v>1896</v>
      </c>
      <c r="E775" t="s" s="27">
        <v>517</v>
      </c>
      <c r="F775" t="s" s="27">
        <v>1471</v>
      </c>
      <c r="G775" s="33">
        <v>5</v>
      </c>
      <c r="H775" s="34"/>
      <c r="I775" s="31"/>
      <c r="J775" s="32"/>
    </row>
    <row r="776" ht="16" customHeight="1">
      <c r="A776" t="s" s="26">
        <v>1897</v>
      </c>
      <c r="B776" t="s" s="27">
        <v>41</v>
      </c>
      <c r="C776" t="s" s="27">
        <v>838</v>
      </c>
      <c r="D776" t="s" s="27">
        <v>1898</v>
      </c>
      <c r="E776" t="s" s="27">
        <v>517</v>
      </c>
      <c r="F776" t="s" s="27">
        <v>1471</v>
      </c>
      <c r="G776" s="33">
        <v>4</v>
      </c>
      <c r="H776" s="34"/>
      <c r="I776" s="31"/>
      <c r="J776" s="32"/>
    </row>
    <row r="777" ht="16" customHeight="1">
      <c r="A777" t="s" s="26">
        <v>1899</v>
      </c>
      <c r="B777" t="s" s="27">
        <v>41</v>
      </c>
      <c r="C777" t="s" s="27">
        <v>423</v>
      </c>
      <c r="D777" t="s" s="27">
        <v>1900</v>
      </c>
      <c r="E777" t="s" s="27">
        <v>520</v>
      </c>
      <c r="F777" t="s" s="27">
        <v>1471</v>
      </c>
      <c r="G777" s="33">
        <v>5</v>
      </c>
      <c r="H777" s="34"/>
      <c r="I777" s="31"/>
      <c r="J777" s="32"/>
    </row>
    <row r="778" ht="16" customHeight="1">
      <c r="A778" t="s" s="26">
        <v>1901</v>
      </c>
      <c r="B778" t="s" s="27">
        <v>41</v>
      </c>
      <c r="C778" t="s" s="27">
        <v>838</v>
      </c>
      <c r="D778" t="s" s="27">
        <v>1902</v>
      </c>
      <c r="E778" t="s" s="27">
        <v>520</v>
      </c>
      <c r="F778" t="s" s="27">
        <v>1471</v>
      </c>
      <c r="G778" s="33">
        <v>4</v>
      </c>
      <c r="H778" s="34"/>
      <c r="I778" s="31"/>
      <c r="J778" s="32"/>
    </row>
    <row r="779" ht="16" customHeight="1">
      <c r="A779" t="s" s="26">
        <v>1903</v>
      </c>
      <c r="B779" t="s" s="27">
        <v>41</v>
      </c>
      <c r="C779" t="s" s="27">
        <v>838</v>
      </c>
      <c r="D779" t="s" s="27">
        <v>1904</v>
      </c>
      <c r="E779" t="s" s="27">
        <v>523</v>
      </c>
      <c r="F779" t="s" s="27">
        <v>1471</v>
      </c>
      <c r="G779" s="33">
        <v>3</v>
      </c>
      <c r="H779" s="34"/>
      <c r="I779" s="31"/>
      <c r="J779" s="32"/>
    </row>
    <row r="780" ht="16" customHeight="1">
      <c r="A780" t="s" s="26">
        <v>1905</v>
      </c>
      <c r="B780" t="s" s="27">
        <v>41</v>
      </c>
      <c r="C780" t="s" s="27">
        <v>42</v>
      </c>
      <c r="D780" t="s" s="27">
        <v>1501</v>
      </c>
      <c r="E780" t="s" s="27">
        <v>527</v>
      </c>
      <c r="F780" t="s" s="27">
        <v>1471</v>
      </c>
      <c r="G780" s="33">
        <v>4</v>
      </c>
      <c r="H780" s="34"/>
      <c r="I780" s="31"/>
      <c r="J780" s="32"/>
    </row>
    <row r="781" ht="16" customHeight="1">
      <c r="A781" t="s" s="26">
        <v>1906</v>
      </c>
      <c r="B781" t="s" s="27">
        <v>41</v>
      </c>
      <c r="C781" t="s" s="27">
        <v>42</v>
      </c>
      <c r="D781" t="s" s="27">
        <v>1907</v>
      </c>
      <c r="E781" t="s" s="27">
        <v>530</v>
      </c>
      <c r="F781" t="s" s="27">
        <v>1471</v>
      </c>
      <c r="G781" s="33">
        <v>4</v>
      </c>
      <c r="H781" s="34"/>
      <c r="I781" s="31"/>
      <c r="J781" s="32"/>
    </row>
    <row r="782" ht="16" customHeight="1">
      <c r="A782" t="s" s="26">
        <v>1908</v>
      </c>
      <c r="B782" t="s" s="27">
        <v>41</v>
      </c>
      <c r="C782" t="s" s="27">
        <v>42</v>
      </c>
      <c r="D782" t="s" s="27">
        <v>1909</v>
      </c>
      <c r="E782" t="s" s="27">
        <v>533</v>
      </c>
      <c r="F782" t="s" s="27">
        <v>1471</v>
      </c>
      <c r="G782" t="s" s="28">
        <v>46</v>
      </c>
      <c r="H782" s="34"/>
      <c r="I782" s="31"/>
      <c r="J782" s="32"/>
    </row>
    <row r="783" ht="16" customHeight="1">
      <c r="A783" t="s" s="26">
        <v>1910</v>
      </c>
      <c r="B783" t="s" s="27">
        <v>41</v>
      </c>
      <c r="C783" t="s" s="27">
        <v>838</v>
      </c>
      <c r="D783" t="s" s="27">
        <v>1911</v>
      </c>
      <c r="E783" t="s" s="27">
        <v>536</v>
      </c>
      <c r="F783" t="s" s="27">
        <v>1471</v>
      </c>
      <c r="G783" s="33">
        <v>4</v>
      </c>
      <c r="H783" s="34"/>
      <c r="I783" s="31"/>
      <c r="J783" s="32"/>
    </row>
    <row r="784" ht="16" customHeight="1">
      <c r="A784" t="s" s="26">
        <v>1912</v>
      </c>
      <c r="B784" t="s" s="27">
        <v>41</v>
      </c>
      <c r="C784" t="s" s="27">
        <v>838</v>
      </c>
      <c r="D784" t="s" s="27">
        <v>1913</v>
      </c>
      <c r="E784" t="s" s="27">
        <v>536</v>
      </c>
      <c r="F784" t="s" s="27">
        <v>1471</v>
      </c>
      <c r="G784" s="33">
        <v>4</v>
      </c>
      <c r="H784" s="34"/>
      <c r="I784" s="31"/>
      <c r="J784" s="32"/>
    </row>
    <row r="785" ht="16" customHeight="1">
      <c r="A785" t="s" s="26">
        <v>1914</v>
      </c>
      <c r="B785" t="s" s="27">
        <v>41</v>
      </c>
      <c r="C785" t="s" s="27">
        <v>42</v>
      </c>
      <c r="D785" t="s" s="27">
        <v>1915</v>
      </c>
      <c r="E785" t="s" s="27">
        <v>539</v>
      </c>
      <c r="F785" t="s" s="27">
        <v>1471</v>
      </c>
      <c r="G785" s="33">
        <v>4</v>
      </c>
      <c r="H785" s="34"/>
      <c r="I785" s="31"/>
      <c r="J785" s="32"/>
    </row>
    <row r="786" ht="16" customHeight="1">
      <c r="A786" t="s" s="26">
        <v>1916</v>
      </c>
      <c r="B786" t="s" s="27">
        <v>41</v>
      </c>
      <c r="C786" t="s" s="27">
        <v>838</v>
      </c>
      <c r="D786" t="s" s="27">
        <v>1917</v>
      </c>
      <c r="E786" t="s" s="27">
        <v>539</v>
      </c>
      <c r="F786" t="s" s="27">
        <v>1471</v>
      </c>
      <c r="G786" s="33">
        <v>5</v>
      </c>
      <c r="H786" s="34"/>
      <c r="I786" s="31"/>
      <c r="J786" s="32"/>
    </row>
    <row r="787" ht="16" customHeight="1">
      <c r="A787" t="s" s="26">
        <v>1918</v>
      </c>
      <c r="B787" t="s" s="27">
        <v>41</v>
      </c>
      <c r="C787" t="s" s="27">
        <v>838</v>
      </c>
      <c r="D787" t="s" s="27">
        <v>1919</v>
      </c>
      <c r="E787" t="s" s="27">
        <v>1240</v>
      </c>
      <c r="F787" t="s" s="27">
        <v>1471</v>
      </c>
      <c r="G787" s="33">
        <v>4</v>
      </c>
      <c r="H787" s="34"/>
      <c r="I787" s="31"/>
      <c r="J787" s="32"/>
    </row>
    <row r="788" ht="24" customHeight="1">
      <c r="A788" t="s" s="26">
        <v>1920</v>
      </c>
      <c r="B788" t="s" s="27">
        <v>41</v>
      </c>
      <c r="C788" t="s" s="27">
        <v>42</v>
      </c>
      <c r="D788" t="s" s="27">
        <v>1921</v>
      </c>
      <c r="E788" t="s" s="27">
        <v>542</v>
      </c>
      <c r="F788" t="s" s="27">
        <v>1471</v>
      </c>
      <c r="G788" t="s" s="28">
        <v>110</v>
      </c>
      <c r="H788" s="34"/>
      <c r="I788" s="31"/>
      <c r="J788" s="32"/>
    </row>
    <row r="789" ht="16" customHeight="1">
      <c r="A789" t="s" s="26">
        <v>1922</v>
      </c>
      <c r="B789" t="s" s="27">
        <v>41</v>
      </c>
      <c r="C789" t="s" s="27">
        <v>42</v>
      </c>
      <c r="D789" t="s" s="27">
        <v>1923</v>
      </c>
      <c r="E789" t="s" s="27">
        <v>1245</v>
      </c>
      <c r="F789" t="s" s="27">
        <v>1471</v>
      </c>
      <c r="G789" s="33">
        <v>4</v>
      </c>
      <c r="H789" s="34"/>
      <c r="I789" s="31"/>
      <c r="J789" s="32"/>
    </row>
    <row r="790" ht="16" customHeight="1">
      <c r="A790" t="s" s="26">
        <v>1924</v>
      </c>
      <c r="B790" t="s" s="27">
        <v>41</v>
      </c>
      <c r="C790" t="s" s="27">
        <v>838</v>
      </c>
      <c r="D790" t="s" s="27">
        <v>1925</v>
      </c>
      <c r="E790" t="s" s="27">
        <v>545</v>
      </c>
      <c r="F790" t="s" s="27">
        <v>1471</v>
      </c>
      <c r="G790" s="33">
        <v>4</v>
      </c>
      <c r="H790" t="s" s="29">
        <v>628</v>
      </c>
      <c r="I790" t="s" s="39">
        <v>629</v>
      </c>
      <c r="J790" s="32"/>
    </row>
    <row r="791" ht="16" customHeight="1">
      <c r="A791" t="s" s="26">
        <v>1926</v>
      </c>
      <c r="B791" t="s" s="27">
        <v>41</v>
      </c>
      <c r="C791" t="s" s="27">
        <v>838</v>
      </c>
      <c r="D791" t="s" s="27">
        <v>1927</v>
      </c>
      <c r="E791" t="s" s="27">
        <v>548</v>
      </c>
      <c r="F791" t="s" s="27">
        <v>1471</v>
      </c>
      <c r="G791" s="33">
        <v>5</v>
      </c>
      <c r="H791" t="s" s="29">
        <v>60</v>
      </c>
      <c r="I791" s="31"/>
      <c r="J791" s="32"/>
    </row>
    <row r="792" ht="16" customHeight="1">
      <c r="A792" t="s" s="26">
        <v>1928</v>
      </c>
      <c r="B792" t="s" s="27">
        <v>41</v>
      </c>
      <c r="C792" t="s" s="27">
        <v>838</v>
      </c>
      <c r="D792" t="s" s="27">
        <v>1929</v>
      </c>
      <c r="E792" t="s" s="27">
        <v>548</v>
      </c>
      <c r="F792" t="s" s="27">
        <v>1471</v>
      </c>
      <c r="G792" s="33">
        <v>4</v>
      </c>
      <c r="H792" s="34"/>
      <c r="I792" s="31"/>
      <c r="J792" s="32"/>
    </row>
    <row r="793" ht="16" customHeight="1">
      <c r="A793" t="s" s="26">
        <v>1930</v>
      </c>
      <c r="B793" t="s" s="27">
        <v>41</v>
      </c>
      <c r="C793" t="s" s="27">
        <v>423</v>
      </c>
      <c r="D793" t="s" s="27">
        <v>1931</v>
      </c>
      <c r="E793" t="s" s="27">
        <v>551</v>
      </c>
      <c r="F793" t="s" s="27">
        <v>1471</v>
      </c>
      <c r="G793" s="33">
        <v>3</v>
      </c>
      <c r="H793" s="34"/>
      <c r="I793" s="31"/>
      <c r="J793" s="32"/>
    </row>
    <row r="794" ht="16" customHeight="1">
      <c r="A794" t="s" s="26">
        <v>1932</v>
      </c>
      <c r="B794" t="s" s="27">
        <v>41</v>
      </c>
      <c r="C794" t="s" s="27">
        <v>42</v>
      </c>
      <c r="D794" t="s" s="27">
        <v>1933</v>
      </c>
      <c r="E794" t="s" s="27">
        <v>551</v>
      </c>
      <c r="F794" t="s" s="27">
        <v>1471</v>
      </c>
      <c r="G794" s="33">
        <v>3</v>
      </c>
      <c r="H794" s="34"/>
      <c r="I794" s="31"/>
      <c r="J794" s="32"/>
    </row>
    <row r="795" ht="16" customHeight="1">
      <c r="A795" t="s" s="26">
        <v>1934</v>
      </c>
      <c r="B795" t="s" s="27">
        <v>41</v>
      </c>
      <c r="C795" t="s" s="27">
        <v>423</v>
      </c>
      <c r="D795" t="s" s="27">
        <v>1935</v>
      </c>
      <c r="E795" t="s" s="27">
        <v>1257</v>
      </c>
      <c r="F795" t="s" s="27">
        <v>1471</v>
      </c>
      <c r="G795" s="33"/>
      <c r="H795" t="s" s="29">
        <v>1936</v>
      </c>
      <c r="I795" s="31"/>
      <c r="J795" s="32"/>
    </row>
    <row r="796" ht="16" customHeight="1">
      <c r="A796" t="s" s="26">
        <v>1937</v>
      </c>
      <c r="B796" t="s" s="27">
        <v>41</v>
      </c>
      <c r="C796" t="s" s="27">
        <v>838</v>
      </c>
      <c r="D796" t="s" s="27">
        <v>1938</v>
      </c>
      <c r="E796" t="s" s="27">
        <v>554</v>
      </c>
      <c r="F796" t="s" s="27">
        <v>1471</v>
      </c>
      <c r="G796" s="33">
        <v>5</v>
      </c>
      <c r="H796" s="34"/>
      <c r="I796" s="31"/>
      <c r="J796" s="32"/>
    </row>
    <row r="797" ht="16" customHeight="1">
      <c r="A797" t="s" s="26">
        <v>1939</v>
      </c>
      <c r="B797" t="s" s="27">
        <v>41</v>
      </c>
      <c r="C797" t="s" s="27">
        <v>42</v>
      </c>
      <c r="D797" t="s" s="27">
        <v>1940</v>
      </c>
      <c r="E797" t="s" s="27">
        <v>557</v>
      </c>
      <c r="F797" t="s" s="27">
        <v>1471</v>
      </c>
      <c r="G797" s="33">
        <v>4</v>
      </c>
      <c r="H797" s="34"/>
      <c r="I797" s="31"/>
      <c r="J797" s="32"/>
    </row>
    <row r="798" ht="16" customHeight="1">
      <c r="A798" t="s" s="26">
        <v>1941</v>
      </c>
      <c r="B798" t="s" s="27">
        <v>41</v>
      </c>
      <c r="C798" t="s" s="27">
        <v>838</v>
      </c>
      <c r="D798" t="s" s="27">
        <v>1942</v>
      </c>
      <c r="E798" t="s" s="27">
        <v>560</v>
      </c>
      <c r="F798" t="s" s="27">
        <v>1471</v>
      </c>
      <c r="G798" s="33">
        <v>4</v>
      </c>
      <c r="H798" s="34"/>
      <c r="I798" s="31"/>
      <c r="J798" s="32"/>
    </row>
    <row r="799" ht="16" customHeight="1">
      <c r="A799" t="s" s="26">
        <v>1943</v>
      </c>
      <c r="B799" t="s" s="27">
        <v>41</v>
      </c>
      <c r="C799" t="s" s="27">
        <v>42</v>
      </c>
      <c r="D799" t="s" s="27">
        <v>1944</v>
      </c>
      <c r="E799" t="s" s="27">
        <v>563</v>
      </c>
      <c r="F799" t="s" s="27">
        <v>1471</v>
      </c>
      <c r="G799" s="33">
        <v>3</v>
      </c>
      <c r="H799" s="34"/>
      <c r="I799" s="31"/>
      <c r="J799" s="32"/>
    </row>
    <row r="800" ht="16" customHeight="1">
      <c r="A800" t="s" s="26">
        <v>1945</v>
      </c>
      <c r="B800" t="s" s="27">
        <v>41</v>
      </c>
      <c r="C800" t="s" s="27">
        <v>42</v>
      </c>
      <c r="D800" t="s" s="27">
        <v>1946</v>
      </c>
      <c r="E800" t="s" s="27">
        <v>563</v>
      </c>
      <c r="F800" t="s" s="27">
        <v>1471</v>
      </c>
      <c r="G800" s="33">
        <v>3</v>
      </c>
      <c r="H800" s="34"/>
      <c r="I800" s="31"/>
      <c r="J800" s="32"/>
    </row>
    <row r="801" ht="16" customHeight="1">
      <c r="A801" t="s" s="26">
        <v>1947</v>
      </c>
      <c r="B801" t="s" s="27">
        <v>41</v>
      </c>
      <c r="C801" t="s" s="27">
        <v>423</v>
      </c>
      <c r="D801" t="s" s="27">
        <v>1948</v>
      </c>
      <c r="E801" t="s" s="27">
        <v>566</v>
      </c>
      <c r="F801" t="s" s="27">
        <v>1471</v>
      </c>
      <c r="G801" s="33">
        <v>5</v>
      </c>
      <c r="H801" s="34"/>
      <c r="I801" s="31"/>
      <c r="J801" s="32"/>
    </row>
    <row r="802" ht="16" customHeight="1">
      <c r="A802" t="s" s="26">
        <v>1949</v>
      </c>
      <c r="B802" t="s" s="27">
        <v>41</v>
      </c>
      <c r="C802" t="s" s="27">
        <v>838</v>
      </c>
      <c r="D802" t="s" s="27">
        <v>1950</v>
      </c>
      <c r="E802" t="s" s="27">
        <v>566</v>
      </c>
      <c r="F802" t="s" s="27">
        <v>1471</v>
      </c>
      <c r="G802" s="33">
        <v>1</v>
      </c>
      <c r="H802" s="34"/>
      <c r="I802" s="31"/>
      <c r="J802" s="32"/>
    </row>
    <row r="803" ht="16" customHeight="1">
      <c r="A803" t="s" s="26">
        <v>1951</v>
      </c>
      <c r="B803" t="s" s="27">
        <v>41</v>
      </c>
      <c r="C803" t="s" s="27">
        <v>838</v>
      </c>
      <c r="D803" t="s" s="27">
        <v>1952</v>
      </c>
      <c r="E803" t="s" s="27">
        <v>570</v>
      </c>
      <c r="F803" t="s" s="27">
        <v>1471</v>
      </c>
      <c r="G803" s="33">
        <v>1</v>
      </c>
      <c r="H803" s="34"/>
      <c r="I803" s="31"/>
      <c r="J803" s="32"/>
    </row>
    <row r="804" ht="16" customHeight="1">
      <c r="A804" t="s" s="26">
        <v>1953</v>
      </c>
      <c r="B804" t="s" s="27">
        <v>41</v>
      </c>
      <c r="C804" t="s" s="27">
        <v>42</v>
      </c>
      <c r="D804" t="s" s="27">
        <v>1954</v>
      </c>
      <c r="E804" t="s" s="27">
        <v>573</v>
      </c>
      <c r="F804" t="s" s="27">
        <v>1471</v>
      </c>
      <c r="G804" s="33">
        <v>1</v>
      </c>
      <c r="H804" s="34"/>
      <c r="I804" s="31"/>
      <c r="J804" s="32"/>
    </row>
    <row r="805" ht="24" customHeight="1">
      <c r="A805" t="s" s="26">
        <v>1955</v>
      </c>
      <c r="B805" t="s" s="27">
        <v>41</v>
      </c>
      <c r="C805" t="s" s="27">
        <v>57</v>
      </c>
      <c r="D805" t="s" s="27">
        <v>1956</v>
      </c>
      <c r="E805" t="s" s="27">
        <v>576</v>
      </c>
      <c r="F805" t="s" s="27">
        <v>1471</v>
      </c>
      <c r="G805" s="33">
        <v>5</v>
      </c>
      <c r="H805" s="34"/>
      <c r="I805" s="31"/>
      <c r="J805" s="32"/>
    </row>
    <row r="806" ht="16" customHeight="1">
      <c r="A806" t="s" s="26">
        <v>1957</v>
      </c>
      <c r="B806" t="s" s="27">
        <v>41</v>
      </c>
      <c r="C806" t="s" s="27">
        <v>838</v>
      </c>
      <c r="D806" t="s" s="27">
        <v>1958</v>
      </c>
      <c r="E806" t="s" s="27">
        <v>580</v>
      </c>
      <c r="F806" t="s" s="27">
        <v>1471</v>
      </c>
      <c r="G806" s="33">
        <v>5</v>
      </c>
      <c r="H806" s="34"/>
      <c r="I806" s="31"/>
      <c r="J806" s="32"/>
    </row>
    <row r="807" ht="16" customHeight="1">
      <c r="A807" t="s" s="26">
        <v>1959</v>
      </c>
      <c r="B807" t="s" s="27">
        <v>41</v>
      </c>
      <c r="C807" t="s" s="27">
        <v>42</v>
      </c>
      <c r="D807" t="s" s="27">
        <v>1960</v>
      </c>
      <c r="E807" t="s" s="27">
        <v>584</v>
      </c>
      <c r="F807" t="s" s="27">
        <v>1471</v>
      </c>
      <c r="G807" s="33">
        <v>5</v>
      </c>
      <c r="H807" s="34"/>
      <c r="I807" s="31"/>
      <c r="J807" s="32"/>
    </row>
    <row r="808" ht="16" customHeight="1">
      <c r="A808" t="s" s="26">
        <v>1961</v>
      </c>
      <c r="B808" t="s" s="27">
        <v>41</v>
      </c>
      <c r="C808" t="s" s="27">
        <v>838</v>
      </c>
      <c r="D808" t="s" s="27">
        <v>1962</v>
      </c>
      <c r="E808" t="s" s="27">
        <v>584</v>
      </c>
      <c r="F808" t="s" s="27">
        <v>1471</v>
      </c>
      <c r="G808" s="33">
        <v>2</v>
      </c>
      <c r="H808" s="34"/>
      <c r="I808" s="31"/>
      <c r="J808" s="32"/>
    </row>
    <row r="809" ht="24" customHeight="1">
      <c r="A809" t="s" s="26">
        <v>1963</v>
      </c>
      <c r="B809" t="s" s="27">
        <v>41</v>
      </c>
      <c r="C809" t="s" s="27">
        <v>838</v>
      </c>
      <c r="D809" t="s" s="27">
        <v>1964</v>
      </c>
      <c r="E809" t="s" s="27">
        <v>588</v>
      </c>
      <c r="F809" t="s" s="27">
        <v>1471</v>
      </c>
      <c r="G809" s="33">
        <v>3</v>
      </c>
      <c r="H809" s="34"/>
      <c r="I809" s="31"/>
      <c r="J809" s="32"/>
    </row>
    <row r="810" ht="16" customHeight="1">
      <c r="A810" t="s" s="26">
        <v>1965</v>
      </c>
      <c r="B810" t="s" s="27">
        <v>41</v>
      </c>
      <c r="C810" t="s" s="27">
        <v>838</v>
      </c>
      <c r="D810" t="s" s="27">
        <v>1966</v>
      </c>
      <c r="E810" t="s" s="27">
        <v>588</v>
      </c>
      <c r="F810" t="s" s="27">
        <v>1471</v>
      </c>
      <c r="G810" s="33">
        <v>3</v>
      </c>
      <c r="H810" s="34"/>
      <c r="I810" s="31"/>
      <c r="J810" s="32"/>
    </row>
    <row r="811" ht="16" customHeight="1">
      <c r="A811" t="s" s="26">
        <v>1967</v>
      </c>
      <c r="B811" t="s" s="27">
        <v>41</v>
      </c>
      <c r="C811" t="s" s="27">
        <v>838</v>
      </c>
      <c r="D811" t="s" s="27">
        <v>1968</v>
      </c>
      <c r="E811" t="s" s="27">
        <v>591</v>
      </c>
      <c r="F811" t="s" s="27">
        <v>1471</v>
      </c>
      <c r="G811" s="33">
        <v>3</v>
      </c>
      <c r="H811" s="34"/>
      <c r="I811" s="31"/>
      <c r="J811" s="32"/>
    </row>
    <row r="812" ht="16" customHeight="1">
      <c r="A812" t="s" s="26">
        <v>1969</v>
      </c>
      <c r="B812" t="s" s="27">
        <v>41</v>
      </c>
      <c r="C812" t="s" s="27">
        <v>838</v>
      </c>
      <c r="D812" t="s" s="27">
        <v>1970</v>
      </c>
      <c r="E812" t="s" s="27">
        <v>594</v>
      </c>
      <c r="F812" t="s" s="27">
        <v>1471</v>
      </c>
      <c r="G812" s="33">
        <v>2</v>
      </c>
      <c r="H812" s="34"/>
      <c r="I812" s="31"/>
      <c r="J812" s="32"/>
    </row>
    <row r="813" ht="16" customHeight="1">
      <c r="A813" t="s" s="26">
        <v>1971</v>
      </c>
      <c r="B813" t="s" s="27">
        <v>41</v>
      </c>
      <c r="C813" t="s" s="27">
        <v>838</v>
      </c>
      <c r="D813" t="s" s="27">
        <v>1972</v>
      </c>
      <c r="E813" t="s" s="27">
        <v>597</v>
      </c>
      <c r="F813" t="s" s="27">
        <v>1471</v>
      </c>
      <c r="G813" s="33">
        <v>2</v>
      </c>
      <c r="H813" s="34"/>
      <c r="I813" s="31"/>
      <c r="J813" s="32"/>
    </row>
    <row r="814" ht="16" customHeight="1">
      <c r="A814" t="s" s="26">
        <v>1973</v>
      </c>
      <c r="B814" t="s" s="27">
        <v>41</v>
      </c>
      <c r="C814" t="s" s="27">
        <v>838</v>
      </c>
      <c r="D814" t="s" s="27">
        <v>1974</v>
      </c>
      <c r="E814" t="s" s="27">
        <v>600</v>
      </c>
      <c r="F814" t="s" s="27">
        <v>1471</v>
      </c>
      <c r="G814" s="33">
        <v>2</v>
      </c>
      <c r="H814" s="34"/>
      <c r="I814" s="31"/>
      <c r="J814" s="32"/>
    </row>
    <row r="815" ht="16" customHeight="1">
      <c r="A815" t="s" s="26">
        <v>1975</v>
      </c>
      <c r="B815" t="s" s="27">
        <v>41</v>
      </c>
      <c r="C815" t="s" s="27">
        <v>42</v>
      </c>
      <c r="D815" t="s" s="27">
        <v>1976</v>
      </c>
      <c r="E815" t="s" s="27">
        <v>603</v>
      </c>
      <c r="F815" t="s" s="27">
        <v>1471</v>
      </c>
      <c r="G815" s="33">
        <v>5</v>
      </c>
      <c r="H815" s="34"/>
      <c r="I815" s="31"/>
      <c r="J815" s="32"/>
    </row>
    <row r="816" ht="16" customHeight="1">
      <c r="A816" t="s" s="26">
        <v>1977</v>
      </c>
      <c r="B816" t="s" s="27">
        <v>41</v>
      </c>
      <c r="C816" t="s" s="27">
        <v>42</v>
      </c>
      <c r="D816" t="s" s="27">
        <v>1978</v>
      </c>
      <c r="E816" t="s" s="27">
        <v>603</v>
      </c>
      <c r="F816" t="s" s="27">
        <v>1471</v>
      </c>
      <c r="G816" s="33">
        <v>4</v>
      </c>
      <c r="H816" s="34"/>
      <c r="I816" s="31"/>
      <c r="J816" s="32"/>
    </row>
    <row r="817" ht="16" customHeight="1">
      <c r="A817" t="s" s="26">
        <v>1979</v>
      </c>
      <c r="B817" t="s" s="27">
        <v>41</v>
      </c>
      <c r="C817" t="s" s="27">
        <v>838</v>
      </c>
      <c r="D817" t="s" s="27">
        <v>1980</v>
      </c>
      <c r="E817" t="s" s="27">
        <v>606</v>
      </c>
      <c r="F817" t="s" s="27">
        <v>1471</v>
      </c>
      <c r="G817" s="33">
        <v>3</v>
      </c>
      <c r="H817" s="34"/>
      <c r="I817" s="31"/>
      <c r="J817" s="32"/>
    </row>
    <row r="818" ht="16" customHeight="1">
      <c r="A818" t="s" s="26">
        <v>1981</v>
      </c>
      <c r="B818" t="s" s="27">
        <v>41</v>
      </c>
      <c r="C818" t="s" s="27">
        <v>838</v>
      </c>
      <c r="D818" t="s" s="27">
        <v>1982</v>
      </c>
      <c r="E818" t="s" s="27">
        <v>606</v>
      </c>
      <c r="F818" t="s" s="27">
        <v>1471</v>
      </c>
      <c r="G818" t="s" s="28">
        <v>1364</v>
      </c>
      <c r="H818" s="34"/>
      <c r="I818" s="31"/>
      <c r="J818" s="32"/>
    </row>
    <row r="819" ht="16" customHeight="1">
      <c r="A819" t="s" s="26">
        <v>1983</v>
      </c>
      <c r="B819" t="s" s="27">
        <v>41</v>
      </c>
      <c r="C819" t="s" s="27">
        <v>838</v>
      </c>
      <c r="D819" t="s" s="27">
        <v>1984</v>
      </c>
      <c r="E819" t="s" s="27">
        <v>609</v>
      </c>
      <c r="F819" t="s" s="27">
        <v>1471</v>
      </c>
      <c r="G819" s="33">
        <v>3</v>
      </c>
      <c r="H819" s="34"/>
      <c r="I819" s="31"/>
      <c r="J819" s="32"/>
    </row>
    <row r="820" ht="16" customHeight="1">
      <c r="A820" t="s" s="26">
        <v>1985</v>
      </c>
      <c r="B820" t="s" s="27">
        <v>41</v>
      </c>
      <c r="C820" t="s" s="27">
        <v>42</v>
      </c>
      <c r="D820" t="s" s="27">
        <v>1986</v>
      </c>
      <c r="E820" t="s" s="27">
        <v>612</v>
      </c>
      <c r="F820" t="s" s="27">
        <v>1471</v>
      </c>
      <c r="G820" t="s" s="28">
        <v>1987</v>
      </c>
      <c r="H820" s="34"/>
      <c r="I820" s="31"/>
      <c r="J820" s="32"/>
    </row>
    <row r="821" ht="16" customHeight="1">
      <c r="A821" t="s" s="26">
        <v>1988</v>
      </c>
      <c r="B821" t="s" s="27">
        <v>41</v>
      </c>
      <c r="C821" t="s" s="27">
        <v>42</v>
      </c>
      <c r="D821" t="s" s="27">
        <v>1989</v>
      </c>
      <c r="E821" t="s" s="27">
        <v>615</v>
      </c>
      <c r="F821" t="s" s="27">
        <v>1471</v>
      </c>
      <c r="G821" s="33">
        <v>2</v>
      </c>
      <c r="H821" s="34"/>
      <c r="I821" s="31"/>
      <c r="J821" s="32"/>
    </row>
    <row r="822" ht="16" customHeight="1">
      <c r="A822" t="s" s="26">
        <v>1990</v>
      </c>
      <c r="B822" t="s" s="27">
        <v>41</v>
      </c>
      <c r="C822" t="s" s="27">
        <v>42</v>
      </c>
      <c r="D822" t="s" s="27">
        <v>1991</v>
      </c>
      <c r="E822" t="s" s="27">
        <v>618</v>
      </c>
      <c r="F822" t="s" s="27">
        <v>1471</v>
      </c>
      <c r="G822" s="33">
        <v>2</v>
      </c>
      <c r="H822" s="34"/>
      <c r="I822" s="31"/>
      <c r="J822" s="32"/>
    </row>
    <row r="823" ht="16" customHeight="1">
      <c r="A823" t="s" s="26">
        <v>1992</v>
      </c>
      <c r="B823" t="s" s="27">
        <v>41</v>
      </c>
      <c r="C823" t="s" s="27">
        <v>42</v>
      </c>
      <c r="D823" t="s" s="27">
        <v>1993</v>
      </c>
      <c r="E823" t="s" s="27">
        <v>621</v>
      </c>
      <c r="F823" t="s" s="27">
        <v>1471</v>
      </c>
      <c r="G823" s="33"/>
      <c r="H823" s="34"/>
      <c r="I823" s="31"/>
      <c r="J823" s="32"/>
    </row>
    <row r="824" ht="16" customHeight="1">
      <c r="A824" t="s" s="26">
        <v>1994</v>
      </c>
      <c r="B824" t="s" s="27">
        <v>41</v>
      </c>
      <c r="C824" t="s" s="27">
        <v>838</v>
      </c>
      <c r="D824" t="s" s="27">
        <v>1995</v>
      </c>
      <c r="E824" t="s" s="27">
        <v>624</v>
      </c>
      <c r="F824" t="s" s="27">
        <v>1471</v>
      </c>
      <c r="G824" s="33"/>
      <c r="H824" s="34"/>
      <c r="I824" s="31"/>
      <c r="J824" s="32"/>
    </row>
    <row r="825" ht="24" customHeight="1">
      <c r="A825" t="s" s="26">
        <v>1996</v>
      </c>
      <c r="B825" t="s" s="27">
        <v>41</v>
      </c>
      <c r="C825" t="s" s="27">
        <v>423</v>
      </c>
      <c r="D825" t="s" s="27">
        <v>1997</v>
      </c>
      <c r="E825" t="s" s="27">
        <v>624</v>
      </c>
      <c r="F825" t="s" s="27">
        <v>1471</v>
      </c>
      <c r="G825" s="33"/>
      <c r="H825" s="34"/>
      <c r="I825" s="31"/>
      <c r="J825" s="32"/>
    </row>
    <row r="826" ht="16" customHeight="1">
      <c r="A826" t="s" s="26">
        <v>1998</v>
      </c>
      <c r="B826" t="s" s="27">
        <v>41</v>
      </c>
      <c r="C826" t="s" s="27">
        <v>838</v>
      </c>
      <c r="D826" t="s" s="27">
        <v>1999</v>
      </c>
      <c r="E826" t="s" s="27">
        <v>627</v>
      </c>
      <c r="F826" t="s" s="27">
        <v>1471</v>
      </c>
      <c r="G826" s="33"/>
      <c r="H826" s="34"/>
      <c r="I826" s="31"/>
      <c r="J826" s="32"/>
    </row>
    <row r="827" ht="16" customHeight="1">
      <c r="A827" t="s" s="26">
        <v>2000</v>
      </c>
      <c r="B827" t="s" s="27">
        <v>41</v>
      </c>
      <c r="C827" t="s" s="27">
        <v>838</v>
      </c>
      <c r="D827" t="s" s="27">
        <v>2001</v>
      </c>
      <c r="E827" t="s" s="27">
        <v>627</v>
      </c>
      <c r="F827" t="s" s="27">
        <v>1471</v>
      </c>
      <c r="G827" s="33"/>
      <c r="H827" s="34"/>
      <c r="I827" s="31"/>
      <c r="J827" s="32"/>
    </row>
    <row r="828" ht="16" customHeight="1">
      <c r="A828" t="s" s="26">
        <v>2002</v>
      </c>
      <c r="B828" t="s" s="27">
        <v>41</v>
      </c>
      <c r="C828" t="s" s="27">
        <v>838</v>
      </c>
      <c r="D828" t="s" s="27">
        <v>2003</v>
      </c>
      <c r="E828" t="s" s="27">
        <v>632</v>
      </c>
      <c r="F828" t="s" s="27">
        <v>1471</v>
      </c>
      <c r="G828" s="33"/>
      <c r="H828" s="34"/>
      <c r="I828" s="31"/>
      <c r="J828" s="32"/>
    </row>
    <row r="829" ht="16" customHeight="1">
      <c r="A829" t="s" s="26">
        <v>2004</v>
      </c>
      <c r="B829" t="s" s="27">
        <v>41</v>
      </c>
      <c r="C829" t="s" s="27">
        <v>42</v>
      </c>
      <c r="D829" t="s" s="27">
        <v>2005</v>
      </c>
      <c r="E829" t="s" s="27">
        <v>635</v>
      </c>
      <c r="F829" t="s" s="27">
        <v>1471</v>
      </c>
      <c r="G829" s="33"/>
      <c r="H829" s="34"/>
      <c r="I829" s="31"/>
      <c r="J829" s="32"/>
    </row>
    <row r="830" ht="16" customHeight="1">
      <c r="A830" t="s" s="26">
        <v>2006</v>
      </c>
      <c r="B830" t="s" s="27">
        <v>41</v>
      </c>
      <c r="C830" t="s" s="27">
        <v>423</v>
      </c>
      <c r="D830" t="s" s="27">
        <v>2007</v>
      </c>
      <c r="E830" t="s" s="27">
        <v>639</v>
      </c>
      <c r="F830" t="s" s="27">
        <v>1471</v>
      </c>
      <c r="G830" s="33"/>
      <c r="H830" s="34"/>
      <c r="I830" s="31"/>
      <c r="J830" s="32"/>
    </row>
    <row r="831" ht="16" customHeight="1">
      <c r="A831" t="s" s="26">
        <v>2008</v>
      </c>
      <c r="B831" t="s" s="27">
        <v>41</v>
      </c>
      <c r="C831" t="s" s="27">
        <v>42</v>
      </c>
      <c r="D831" t="s" s="27">
        <v>1653</v>
      </c>
      <c r="E831" t="s" s="27">
        <v>642</v>
      </c>
      <c r="F831" t="s" s="27">
        <v>1471</v>
      </c>
      <c r="G831" s="33"/>
      <c r="H831" s="34"/>
      <c r="I831" s="31"/>
      <c r="J831" s="32"/>
    </row>
    <row r="832" ht="16" customHeight="1">
      <c r="A832" t="s" s="26">
        <v>2009</v>
      </c>
      <c r="B832" t="s" s="27">
        <v>41</v>
      </c>
      <c r="C832" t="s" s="27">
        <v>838</v>
      </c>
      <c r="D832" t="s" s="27">
        <v>2010</v>
      </c>
      <c r="E832" t="s" s="27">
        <v>645</v>
      </c>
      <c r="F832" t="s" s="27">
        <v>1471</v>
      </c>
      <c r="G832" s="33"/>
      <c r="H832" s="34"/>
      <c r="I832" s="31"/>
      <c r="J832" s="32"/>
    </row>
    <row r="833" ht="16" customHeight="1">
      <c r="A833" t="s" s="26">
        <v>2011</v>
      </c>
      <c r="B833" t="s" s="27">
        <v>41</v>
      </c>
      <c r="C833" t="s" s="27">
        <v>838</v>
      </c>
      <c r="D833" t="s" s="27">
        <v>2012</v>
      </c>
      <c r="E833" t="s" s="27">
        <v>645</v>
      </c>
      <c r="F833" t="s" s="27">
        <v>1471</v>
      </c>
      <c r="G833" s="33"/>
      <c r="H833" s="34"/>
      <c r="I833" s="31"/>
      <c r="J833" s="32"/>
    </row>
    <row r="834" ht="16" customHeight="1">
      <c r="A834" t="s" s="26">
        <v>2013</v>
      </c>
      <c r="B834" t="s" s="27">
        <v>41</v>
      </c>
      <c r="C834" t="s" s="27">
        <v>42</v>
      </c>
      <c r="D834" t="s" s="27">
        <v>2014</v>
      </c>
      <c r="E834" t="s" s="27">
        <v>648</v>
      </c>
      <c r="F834" t="s" s="27">
        <v>1471</v>
      </c>
      <c r="G834" s="33"/>
      <c r="H834" s="34"/>
      <c r="I834" s="31"/>
      <c r="J834" s="32"/>
    </row>
    <row r="835" ht="16" customHeight="1">
      <c r="A835" t="s" s="26">
        <v>2015</v>
      </c>
      <c r="B835" t="s" s="27">
        <v>41</v>
      </c>
      <c r="C835" t="s" s="27">
        <v>423</v>
      </c>
      <c r="D835" t="s" s="27">
        <v>2016</v>
      </c>
      <c r="E835" t="s" s="27">
        <v>648</v>
      </c>
      <c r="F835" t="s" s="27">
        <v>1471</v>
      </c>
      <c r="G835" s="33"/>
      <c r="H835" s="34"/>
      <c r="I835" s="31"/>
      <c r="J835" s="32"/>
    </row>
    <row r="836" ht="16" customHeight="1">
      <c r="A836" t="s" s="26">
        <v>2017</v>
      </c>
      <c r="B836" t="s" s="27">
        <v>41</v>
      </c>
      <c r="C836" t="s" s="27">
        <v>838</v>
      </c>
      <c r="D836" t="s" s="27">
        <v>2018</v>
      </c>
      <c r="E836" t="s" s="27">
        <v>651</v>
      </c>
      <c r="F836" t="s" s="27">
        <v>1471</v>
      </c>
      <c r="G836" s="33"/>
      <c r="H836" s="34"/>
      <c r="I836" s="31"/>
      <c r="J836" s="32"/>
    </row>
    <row r="837" ht="16" customHeight="1">
      <c r="A837" t="s" s="26">
        <v>2019</v>
      </c>
      <c r="B837" t="s" s="27">
        <v>41</v>
      </c>
      <c r="C837" t="s" s="27">
        <v>838</v>
      </c>
      <c r="D837" t="s" s="27">
        <v>2020</v>
      </c>
      <c r="E837" t="s" s="27">
        <v>654</v>
      </c>
      <c r="F837" t="s" s="27">
        <v>1471</v>
      </c>
      <c r="G837" s="33"/>
      <c r="H837" s="34"/>
      <c r="I837" s="31"/>
      <c r="J837" s="32"/>
    </row>
    <row r="838" ht="16" customHeight="1">
      <c r="A838" t="s" s="26">
        <v>2021</v>
      </c>
      <c r="B838" t="s" s="27">
        <v>41</v>
      </c>
      <c r="C838" t="s" s="27">
        <v>57</v>
      </c>
      <c r="D838" t="s" s="27">
        <v>2022</v>
      </c>
      <c r="E838" t="s" s="27">
        <v>657</v>
      </c>
      <c r="F838" t="s" s="27">
        <v>1471</v>
      </c>
      <c r="G838" s="33"/>
      <c r="H838" s="34"/>
      <c r="I838" s="31"/>
      <c r="J838" s="32"/>
    </row>
    <row r="839" ht="16" customHeight="1">
      <c r="A839" t="s" s="26">
        <v>2023</v>
      </c>
      <c r="B839" t="s" s="27">
        <v>41</v>
      </c>
      <c r="C839" t="s" s="27">
        <v>449</v>
      </c>
      <c r="D839" t="s" s="27">
        <v>2024</v>
      </c>
      <c r="E839" t="s" s="27">
        <v>660</v>
      </c>
      <c r="F839" t="s" s="27">
        <v>1471</v>
      </c>
      <c r="G839" s="33"/>
      <c r="H839" s="34"/>
      <c r="I839" s="31"/>
      <c r="J839" s="32"/>
    </row>
    <row r="840" ht="16" customHeight="1">
      <c r="A840" t="s" s="26">
        <v>2025</v>
      </c>
      <c r="B840" t="s" s="27">
        <v>41</v>
      </c>
      <c r="C840" t="s" s="27">
        <v>423</v>
      </c>
      <c r="D840" t="s" s="27">
        <v>2026</v>
      </c>
      <c r="E840" t="s" s="27">
        <v>663</v>
      </c>
      <c r="F840" t="s" s="27">
        <v>1471</v>
      </c>
      <c r="G840" s="33"/>
      <c r="H840" s="34"/>
      <c r="I840" s="31"/>
      <c r="J840" s="32"/>
    </row>
    <row r="841" ht="16" customHeight="1">
      <c r="A841" t="s" s="26">
        <v>2027</v>
      </c>
      <c r="B841" t="s" s="27">
        <v>41</v>
      </c>
      <c r="C841" t="s" s="27">
        <v>449</v>
      </c>
      <c r="D841" t="s" s="27">
        <v>2028</v>
      </c>
      <c r="E841" t="s" s="27">
        <v>663</v>
      </c>
      <c r="F841" t="s" s="27">
        <v>1471</v>
      </c>
      <c r="G841" s="33"/>
      <c r="H841" s="34"/>
      <c r="I841" s="31"/>
      <c r="J841" s="32"/>
    </row>
    <row r="842" ht="16" customHeight="1">
      <c r="A842" t="s" s="26">
        <v>2029</v>
      </c>
      <c r="B842" t="s" s="27">
        <v>41</v>
      </c>
      <c r="C842" t="s" s="27">
        <v>42</v>
      </c>
      <c r="D842" t="s" s="27">
        <v>2030</v>
      </c>
      <c r="E842" t="s" s="27">
        <v>666</v>
      </c>
      <c r="F842" t="s" s="27">
        <v>1471</v>
      </c>
      <c r="G842" s="33"/>
      <c r="H842" s="34"/>
      <c r="I842" s="31"/>
      <c r="J842" s="32"/>
    </row>
    <row r="843" ht="16" customHeight="1">
      <c r="A843" t="s" s="26">
        <v>2031</v>
      </c>
      <c r="B843" t="s" s="27">
        <v>41</v>
      </c>
      <c r="C843" t="s" s="27">
        <v>838</v>
      </c>
      <c r="D843" t="s" s="27">
        <v>2032</v>
      </c>
      <c r="E843" t="s" s="27">
        <v>666</v>
      </c>
      <c r="F843" t="s" s="27">
        <v>1471</v>
      </c>
      <c r="G843" s="33"/>
      <c r="H843" s="34"/>
      <c r="I843" s="31"/>
      <c r="J843" s="32"/>
    </row>
    <row r="844" ht="16" customHeight="1">
      <c r="A844" t="s" s="26">
        <v>2033</v>
      </c>
      <c r="B844" t="s" s="27">
        <v>41</v>
      </c>
      <c r="C844" t="s" s="27">
        <v>423</v>
      </c>
      <c r="D844" t="s" s="27">
        <v>2034</v>
      </c>
      <c r="E844" t="s" s="27">
        <v>669</v>
      </c>
      <c r="F844" t="s" s="27">
        <v>1471</v>
      </c>
      <c r="G844" s="33"/>
      <c r="H844" s="34"/>
      <c r="I844" s="31"/>
      <c r="J844" s="32"/>
    </row>
    <row r="845" ht="24" customHeight="1">
      <c r="A845" t="s" s="26">
        <v>2035</v>
      </c>
      <c r="B845" t="s" s="27">
        <v>41</v>
      </c>
      <c r="C845" t="s" s="27">
        <v>838</v>
      </c>
      <c r="D845" t="s" s="27">
        <v>2036</v>
      </c>
      <c r="E845" t="s" s="27">
        <v>675</v>
      </c>
      <c r="F845" t="s" s="27">
        <v>1471</v>
      </c>
      <c r="G845" s="33"/>
      <c r="H845" s="34"/>
      <c r="I845" s="31"/>
      <c r="J845" s="32"/>
    </row>
    <row r="846" ht="16" customHeight="1">
      <c r="A846" t="s" s="26">
        <v>2037</v>
      </c>
      <c r="B846" t="s" s="27">
        <v>41</v>
      </c>
      <c r="C846" t="s" s="27">
        <v>423</v>
      </c>
      <c r="D846" t="s" s="27">
        <v>2038</v>
      </c>
      <c r="E846" t="s" s="27">
        <v>678</v>
      </c>
      <c r="F846" t="s" s="27">
        <v>1471</v>
      </c>
      <c r="G846" s="33"/>
      <c r="H846" s="34"/>
      <c r="I846" s="31"/>
      <c r="J846" s="32"/>
    </row>
    <row r="847" ht="16" customHeight="1">
      <c r="A847" t="s" s="26">
        <v>2039</v>
      </c>
      <c r="B847" t="s" s="27">
        <v>41</v>
      </c>
      <c r="C847" t="s" s="27">
        <v>42</v>
      </c>
      <c r="D847" t="s" s="27">
        <v>2040</v>
      </c>
      <c r="E847" t="s" s="27">
        <v>681</v>
      </c>
      <c r="F847" t="s" s="27">
        <v>1471</v>
      </c>
      <c r="G847" s="33"/>
      <c r="H847" s="34"/>
      <c r="I847" s="31"/>
      <c r="J847" s="32"/>
    </row>
    <row r="848" ht="16" customHeight="1">
      <c r="A848" t="s" s="26">
        <v>2041</v>
      </c>
      <c r="B848" t="s" s="27">
        <v>41</v>
      </c>
      <c r="C848" t="s" s="27">
        <v>838</v>
      </c>
      <c r="D848" t="s" s="27">
        <v>2042</v>
      </c>
      <c r="E848" t="s" s="27">
        <v>681</v>
      </c>
      <c r="F848" t="s" s="27">
        <v>1471</v>
      </c>
      <c r="G848" s="33"/>
      <c r="H848" s="34"/>
      <c r="I848" s="31"/>
      <c r="J848" s="32"/>
    </row>
    <row r="849" ht="16" customHeight="1">
      <c r="A849" t="s" s="26">
        <v>2043</v>
      </c>
      <c r="B849" t="s" s="27">
        <v>41</v>
      </c>
      <c r="C849" t="s" s="27">
        <v>42</v>
      </c>
      <c r="D849" t="s" s="27">
        <v>2044</v>
      </c>
      <c r="E849" t="s" s="27">
        <v>684</v>
      </c>
      <c r="F849" t="s" s="27">
        <v>1471</v>
      </c>
      <c r="G849" s="33"/>
      <c r="H849" s="34"/>
      <c r="I849" s="31"/>
      <c r="J849" s="32"/>
    </row>
    <row r="850" ht="16" customHeight="1">
      <c r="A850" t="s" s="26">
        <v>2045</v>
      </c>
      <c r="B850" t="s" s="27">
        <v>41</v>
      </c>
      <c r="C850" t="s" s="27">
        <v>838</v>
      </c>
      <c r="D850" t="s" s="27">
        <v>2046</v>
      </c>
      <c r="E850" t="s" s="27">
        <v>684</v>
      </c>
      <c r="F850" t="s" s="27">
        <v>1471</v>
      </c>
      <c r="G850" s="33"/>
      <c r="H850" s="34"/>
      <c r="I850" s="31"/>
      <c r="J850" s="32"/>
    </row>
    <row r="851" ht="16" customHeight="1">
      <c r="A851" t="s" s="26">
        <v>2047</v>
      </c>
      <c r="B851" t="s" s="27">
        <v>41</v>
      </c>
      <c r="C851" t="s" s="27">
        <v>423</v>
      </c>
      <c r="D851" t="s" s="27">
        <v>2048</v>
      </c>
      <c r="E851" t="s" s="27">
        <v>687</v>
      </c>
      <c r="F851" t="s" s="27">
        <v>1471</v>
      </c>
      <c r="G851" s="33"/>
      <c r="H851" s="34"/>
      <c r="I851" s="31"/>
      <c r="J851" s="32"/>
    </row>
    <row r="852" ht="16" customHeight="1">
      <c r="A852" t="s" s="26">
        <v>2049</v>
      </c>
      <c r="B852" t="s" s="27">
        <v>41</v>
      </c>
      <c r="C852" t="s" s="27">
        <v>838</v>
      </c>
      <c r="D852" t="s" s="27">
        <v>2050</v>
      </c>
      <c r="E852" t="s" s="27">
        <v>690</v>
      </c>
      <c r="F852" t="s" s="27">
        <v>1471</v>
      </c>
      <c r="G852" s="33"/>
      <c r="H852" s="34"/>
      <c r="I852" s="31"/>
      <c r="J852" s="32"/>
    </row>
    <row r="853" ht="16" customHeight="1">
      <c r="A853" t="s" s="26">
        <v>2051</v>
      </c>
      <c r="B853" t="s" s="27">
        <v>41</v>
      </c>
      <c r="C853" s="35"/>
      <c r="D853" t="s" s="27">
        <v>2052</v>
      </c>
      <c r="E853" t="s" s="27">
        <v>693</v>
      </c>
      <c r="F853" t="s" s="27">
        <v>1471</v>
      </c>
      <c r="G853" s="33"/>
      <c r="H853" s="34"/>
      <c r="I853" s="31"/>
      <c r="J853" s="32"/>
    </row>
    <row r="854" ht="16" customHeight="1">
      <c r="A854" t="s" s="26">
        <v>2053</v>
      </c>
      <c r="B854" t="s" s="27">
        <v>41</v>
      </c>
      <c r="C854" t="s" s="27">
        <v>42</v>
      </c>
      <c r="D854" t="s" s="27">
        <v>2054</v>
      </c>
      <c r="E854" t="s" s="27">
        <v>696</v>
      </c>
      <c r="F854" t="s" s="27">
        <v>1471</v>
      </c>
      <c r="G854" s="33"/>
      <c r="H854" s="34"/>
      <c r="I854" s="31"/>
      <c r="J854" s="32"/>
    </row>
    <row r="855" ht="16" customHeight="1">
      <c r="A855" t="s" s="26">
        <v>2055</v>
      </c>
      <c r="B855" t="s" s="27">
        <v>41</v>
      </c>
      <c r="C855" s="35"/>
      <c r="D855" t="s" s="27">
        <v>2056</v>
      </c>
      <c r="E855" t="s" s="27">
        <v>699</v>
      </c>
      <c r="F855" t="s" s="27">
        <v>1471</v>
      </c>
      <c r="G855" s="33"/>
      <c r="H855" s="34"/>
      <c r="I855" s="31"/>
      <c r="J855" s="32"/>
    </row>
    <row r="856" ht="16" customHeight="1">
      <c r="A856" t="s" s="26">
        <v>2057</v>
      </c>
      <c r="B856" t="s" s="27">
        <v>41</v>
      </c>
      <c r="C856" t="s" s="27">
        <v>423</v>
      </c>
      <c r="D856" t="s" s="27">
        <v>2058</v>
      </c>
      <c r="E856" t="s" s="27">
        <v>702</v>
      </c>
      <c r="F856" t="s" s="27">
        <v>1471</v>
      </c>
      <c r="G856" s="33"/>
      <c r="H856" s="34"/>
      <c r="I856" s="31"/>
      <c r="J856" s="32"/>
    </row>
    <row r="857" ht="16" customHeight="1">
      <c r="A857" t="s" s="26">
        <v>2059</v>
      </c>
      <c r="B857" t="s" s="27">
        <v>41</v>
      </c>
      <c r="C857" t="s" s="27">
        <v>423</v>
      </c>
      <c r="D857" t="s" s="27">
        <v>1372</v>
      </c>
      <c r="E857" t="s" s="27">
        <v>702</v>
      </c>
      <c r="F857" t="s" s="27">
        <v>1471</v>
      </c>
      <c r="G857" s="33"/>
      <c r="H857" s="34"/>
      <c r="I857" s="31"/>
      <c r="J857" s="32"/>
    </row>
    <row r="858" ht="16" customHeight="1">
      <c r="A858" t="s" s="26">
        <v>2060</v>
      </c>
      <c r="B858" t="s" s="27">
        <v>41</v>
      </c>
      <c r="C858" t="s" s="27">
        <v>838</v>
      </c>
      <c r="D858" t="s" s="27">
        <v>2061</v>
      </c>
      <c r="E858" t="s" s="27">
        <v>705</v>
      </c>
      <c r="F858" t="s" s="27">
        <v>1471</v>
      </c>
      <c r="G858" s="33"/>
      <c r="H858" s="34"/>
      <c r="I858" s="31"/>
      <c r="J858" s="32"/>
    </row>
    <row r="859" ht="16" customHeight="1">
      <c r="A859" t="s" s="26">
        <v>2062</v>
      </c>
      <c r="B859" t="s" s="27">
        <v>41</v>
      </c>
      <c r="C859" t="s" s="27">
        <v>838</v>
      </c>
      <c r="D859" t="s" s="27">
        <v>2063</v>
      </c>
      <c r="E859" t="s" s="27">
        <v>708</v>
      </c>
      <c r="F859" t="s" s="27">
        <v>1471</v>
      </c>
      <c r="G859" s="33"/>
      <c r="H859" s="34"/>
      <c r="I859" s="31"/>
      <c r="J859" s="32"/>
    </row>
    <row r="860" ht="16" customHeight="1">
      <c r="A860" t="s" s="26">
        <v>2064</v>
      </c>
      <c r="B860" t="s" s="27">
        <v>41</v>
      </c>
      <c r="C860" t="s" s="27">
        <v>449</v>
      </c>
      <c r="D860" t="s" s="27">
        <v>2065</v>
      </c>
      <c r="E860" t="s" s="27">
        <v>711</v>
      </c>
      <c r="F860" t="s" s="27">
        <v>1471</v>
      </c>
      <c r="G860" s="33"/>
      <c r="H860" s="34"/>
      <c r="I860" s="31"/>
      <c r="J860" s="32"/>
    </row>
    <row r="861" ht="16" customHeight="1">
      <c r="A861" t="s" s="26">
        <v>2066</v>
      </c>
      <c r="B861" t="s" s="27">
        <v>41</v>
      </c>
      <c r="C861" t="s" s="27">
        <v>42</v>
      </c>
      <c r="D861" t="s" s="27">
        <v>2067</v>
      </c>
      <c r="E861" t="s" s="27">
        <v>714</v>
      </c>
      <c r="F861" t="s" s="27">
        <v>1471</v>
      </c>
      <c r="G861" s="33"/>
      <c r="H861" s="34"/>
      <c r="I861" s="31"/>
      <c r="J861" s="32"/>
    </row>
    <row r="862" ht="16" customHeight="1">
      <c r="A862" t="s" s="26">
        <v>2068</v>
      </c>
      <c r="B862" t="s" s="27">
        <v>41</v>
      </c>
      <c r="C862" t="s" s="27">
        <v>838</v>
      </c>
      <c r="D862" t="s" s="27">
        <v>2069</v>
      </c>
      <c r="E862" t="s" s="27">
        <v>717</v>
      </c>
      <c r="F862" t="s" s="27">
        <v>1471</v>
      </c>
      <c r="G862" s="33"/>
      <c r="H862" s="34"/>
      <c r="I862" s="31"/>
      <c r="J862" s="32"/>
    </row>
    <row r="863" ht="16" customHeight="1">
      <c r="A863" t="s" s="26">
        <v>2070</v>
      </c>
      <c r="B863" t="s" s="27">
        <v>41</v>
      </c>
      <c r="C863" t="s" s="27">
        <v>42</v>
      </c>
      <c r="D863" t="s" s="27">
        <v>2071</v>
      </c>
      <c r="E863" t="s" s="27">
        <v>717</v>
      </c>
      <c r="F863" t="s" s="27">
        <v>1471</v>
      </c>
      <c r="G863" s="33"/>
      <c r="H863" s="34"/>
      <c r="I863" s="31"/>
      <c r="J863" s="32"/>
    </row>
    <row r="864" ht="16" customHeight="1">
      <c r="A864" t="s" s="26">
        <v>2072</v>
      </c>
      <c r="B864" t="s" s="27">
        <v>41</v>
      </c>
      <c r="C864" t="s" s="27">
        <v>525</v>
      </c>
      <c r="D864" t="s" s="27">
        <v>2073</v>
      </c>
      <c r="E864" t="s" s="27">
        <v>720</v>
      </c>
      <c r="F864" t="s" s="27">
        <v>1471</v>
      </c>
      <c r="G864" s="33"/>
      <c r="H864" s="34"/>
      <c r="I864" s="31"/>
      <c r="J864" s="32"/>
    </row>
    <row r="865" ht="16" customHeight="1">
      <c r="A865" t="s" s="26">
        <v>2074</v>
      </c>
      <c r="B865" t="s" s="27">
        <v>41</v>
      </c>
      <c r="C865" t="s" s="27">
        <v>838</v>
      </c>
      <c r="D865" t="s" s="27">
        <v>2075</v>
      </c>
      <c r="E865" t="s" s="27">
        <v>720</v>
      </c>
      <c r="F865" t="s" s="27">
        <v>1471</v>
      </c>
      <c r="G865" s="33"/>
      <c r="H865" s="34"/>
      <c r="I865" s="31"/>
      <c r="J865" s="32"/>
    </row>
    <row r="866" ht="16" customHeight="1">
      <c r="A866" t="s" s="26">
        <v>2076</v>
      </c>
      <c r="B866" t="s" s="27">
        <v>41</v>
      </c>
      <c r="C866" t="s" s="27">
        <v>42</v>
      </c>
      <c r="D866" t="s" s="27">
        <v>2077</v>
      </c>
      <c r="E866" t="s" s="27">
        <v>723</v>
      </c>
      <c r="F866" t="s" s="27">
        <v>1471</v>
      </c>
      <c r="G866" s="33"/>
      <c r="H866" s="34"/>
      <c r="I866" s="31"/>
      <c r="J866" s="32"/>
    </row>
    <row r="867" ht="16" customHeight="1">
      <c r="A867" t="s" s="26">
        <v>2078</v>
      </c>
      <c r="B867" t="s" s="27">
        <v>41</v>
      </c>
      <c r="C867" t="s" s="27">
        <v>838</v>
      </c>
      <c r="D867" t="s" s="27">
        <v>2079</v>
      </c>
      <c r="E867" t="s" s="27">
        <v>727</v>
      </c>
      <c r="F867" t="s" s="27">
        <v>1471</v>
      </c>
      <c r="G867" s="33"/>
      <c r="H867" s="34"/>
      <c r="I867" s="31"/>
      <c r="J867" s="32"/>
    </row>
    <row r="868" ht="16" customHeight="1">
      <c r="A868" t="s" s="26">
        <v>2080</v>
      </c>
      <c r="B868" t="s" s="27">
        <v>41</v>
      </c>
      <c r="C868" t="s" s="27">
        <v>42</v>
      </c>
      <c r="D868" t="s" s="27">
        <v>2081</v>
      </c>
      <c r="E868" t="s" s="27">
        <v>730</v>
      </c>
      <c r="F868" t="s" s="27">
        <v>1471</v>
      </c>
      <c r="G868" s="33"/>
      <c r="H868" s="34"/>
      <c r="I868" s="31"/>
      <c r="J868" s="32"/>
    </row>
    <row r="869" ht="16" customHeight="1">
      <c r="A869" t="s" s="26">
        <v>2082</v>
      </c>
      <c r="B869" t="s" s="27">
        <v>41</v>
      </c>
      <c r="C869" t="s" s="27">
        <v>838</v>
      </c>
      <c r="D869" t="s" s="27">
        <v>2083</v>
      </c>
      <c r="E869" t="s" s="27">
        <v>733</v>
      </c>
      <c r="F869" t="s" s="27">
        <v>1471</v>
      </c>
      <c r="G869" s="33"/>
      <c r="H869" s="34"/>
      <c r="I869" s="31"/>
      <c r="J869" s="32"/>
    </row>
    <row r="870" ht="16" customHeight="1">
      <c r="A870" t="s" s="26">
        <v>2084</v>
      </c>
      <c r="B870" t="s" s="27">
        <v>41</v>
      </c>
      <c r="C870" t="s" s="27">
        <v>57</v>
      </c>
      <c r="D870" t="s" s="27">
        <v>2085</v>
      </c>
      <c r="E870" t="s" s="27">
        <v>733</v>
      </c>
      <c r="F870" t="s" s="27">
        <v>1471</v>
      </c>
      <c r="G870" s="33"/>
      <c r="H870" s="34"/>
      <c r="I870" s="31"/>
      <c r="J870" s="32"/>
    </row>
    <row r="871" ht="16" customHeight="1">
      <c r="A871" t="s" s="26">
        <v>2086</v>
      </c>
      <c r="B871" t="s" s="27">
        <v>41</v>
      </c>
      <c r="C871" t="s" s="27">
        <v>42</v>
      </c>
      <c r="D871" t="s" s="27">
        <v>2087</v>
      </c>
      <c r="E871" t="s" s="27">
        <v>736</v>
      </c>
      <c r="F871" t="s" s="27">
        <v>1471</v>
      </c>
      <c r="G871" s="33"/>
      <c r="H871" s="34"/>
      <c r="I871" s="31"/>
      <c r="J871" s="32"/>
    </row>
    <row r="872" ht="16" customHeight="1">
      <c r="A872" t="s" s="26">
        <v>2088</v>
      </c>
      <c r="B872" t="s" s="27">
        <v>41</v>
      </c>
      <c r="C872" t="s" s="27">
        <v>838</v>
      </c>
      <c r="D872" t="s" s="27">
        <v>2089</v>
      </c>
      <c r="E872" t="s" s="27">
        <v>736</v>
      </c>
      <c r="F872" t="s" s="27">
        <v>1471</v>
      </c>
      <c r="G872" s="33"/>
      <c r="H872" s="34"/>
      <c r="I872" s="31"/>
      <c r="J872" s="32"/>
    </row>
    <row r="873" ht="16" customHeight="1">
      <c r="A873" t="s" s="26">
        <v>2090</v>
      </c>
      <c r="B873" t="s" s="27">
        <v>41</v>
      </c>
      <c r="C873" t="s" s="27">
        <v>42</v>
      </c>
      <c r="D873" t="s" s="27">
        <v>2091</v>
      </c>
      <c r="E873" t="s" s="27">
        <v>739</v>
      </c>
      <c r="F873" t="s" s="27">
        <v>1471</v>
      </c>
      <c r="G873" s="33"/>
      <c r="H873" s="34"/>
      <c r="I873" s="31"/>
      <c r="J873" s="32"/>
    </row>
    <row r="874" ht="16" customHeight="1">
      <c r="A874" t="s" s="26">
        <v>2092</v>
      </c>
      <c r="B874" t="s" s="27">
        <v>41</v>
      </c>
      <c r="C874" t="s" s="27">
        <v>838</v>
      </c>
      <c r="D874" t="s" s="27">
        <v>2093</v>
      </c>
      <c r="E874" t="s" s="27">
        <v>742</v>
      </c>
      <c r="F874" t="s" s="27">
        <v>1471</v>
      </c>
      <c r="G874" s="33"/>
      <c r="H874" s="34"/>
      <c r="I874" s="31"/>
      <c r="J874" s="32"/>
    </row>
    <row r="875" ht="16" customHeight="1">
      <c r="A875" t="s" s="26">
        <v>2094</v>
      </c>
      <c r="B875" t="s" s="27">
        <v>41</v>
      </c>
      <c r="C875" t="s" s="27">
        <v>838</v>
      </c>
      <c r="D875" t="s" s="27">
        <v>2095</v>
      </c>
      <c r="E875" t="s" s="27">
        <v>745</v>
      </c>
      <c r="F875" t="s" s="27">
        <v>1471</v>
      </c>
      <c r="G875" s="33"/>
      <c r="H875" s="34"/>
      <c r="I875" s="31"/>
      <c r="J875" s="32"/>
    </row>
    <row r="876" ht="16" customHeight="1">
      <c r="A876" t="s" s="26">
        <v>2096</v>
      </c>
      <c r="B876" t="s" s="27">
        <v>41</v>
      </c>
      <c r="C876" t="s" s="27">
        <v>42</v>
      </c>
      <c r="D876" t="s" s="27">
        <v>2097</v>
      </c>
      <c r="E876" t="s" s="27">
        <v>748</v>
      </c>
      <c r="F876" t="s" s="27">
        <v>1471</v>
      </c>
      <c r="G876" s="33"/>
      <c r="H876" s="34"/>
      <c r="I876" s="31"/>
      <c r="J876" s="32"/>
    </row>
    <row r="877" ht="16" customHeight="1">
      <c r="A877" t="s" s="26">
        <v>2098</v>
      </c>
      <c r="B877" t="s" s="27">
        <v>41</v>
      </c>
      <c r="C877" t="s" s="27">
        <v>838</v>
      </c>
      <c r="D877" t="s" s="27">
        <v>2099</v>
      </c>
      <c r="E877" t="s" s="27">
        <v>751</v>
      </c>
      <c r="F877" t="s" s="27">
        <v>1471</v>
      </c>
      <c r="G877" s="33"/>
      <c r="H877" s="34"/>
      <c r="I877" s="31"/>
      <c r="J877" s="32"/>
    </row>
    <row r="878" ht="16" customHeight="1">
      <c r="A878" t="s" s="26">
        <v>2100</v>
      </c>
      <c r="B878" t="s" s="27">
        <v>41</v>
      </c>
      <c r="C878" t="s" s="27">
        <v>838</v>
      </c>
      <c r="D878" t="s" s="27">
        <v>2101</v>
      </c>
      <c r="E878" t="s" s="27">
        <v>751</v>
      </c>
      <c r="F878" t="s" s="27">
        <v>1471</v>
      </c>
      <c r="G878" s="33"/>
      <c r="H878" s="34"/>
      <c r="I878" s="31"/>
      <c r="J878" s="32"/>
    </row>
    <row r="879" ht="16" customHeight="1">
      <c r="A879" t="s" s="26">
        <v>2102</v>
      </c>
      <c r="B879" t="s" s="27">
        <v>41</v>
      </c>
      <c r="C879" t="s" s="27">
        <v>838</v>
      </c>
      <c r="D879" t="s" s="27">
        <v>2103</v>
      </c>
      <c r="E879" t="s" s="27">
        <v>754</v>
      </c>
      <c r="F879" t="s" s="27">
        <v>1471</v>
      </c>
      <c r="G879" s="33"/>
      <c r="H879" s="34"/>
      <c r="I879" s="31"/>
      <c r="J879" s="32"/>
    </row>
    <row r="880" ht="16" customHeight="1">
      <c r="A880" t="s" s="26">
        <v>2104</v>
      </c>
      <c r="B880" t="s" s="27">
        <v>41</v>
      </c>
      <c r="C880" t="s" s="27">
        <v>838</v>
      </c>
      <c r="D880" t="s" s="27">
        <v>2105</v>
      </c>
      <c r="E880" t="s" s="27">
        <v>754</v>
      </c>
      <c r="F880" t="s" s="27">
        <v>1471</v>
      </c>
      <c r="G880" s="33"/>
      <c r="H880" s="34"/>
      <c r="I880" s="31"/>
      <c r="J880" s="32"/>
    </row>
    <row r="881" ht="16" customHeight="1">
      <c r="A881" t="s" s="26">
        <v>2106</v>
      </c>
      <c r="B881" t="s" s="27">
        <v>41</v>
      </c>
      <c r="C881" t="s" s="27">
        <v>423</v>
      </c>
      <c r="D881" t="s" s="27">
        <v>2107</v>
      </c>
      <c r="E881" t="s" s="27">
        <v>757</v>
      </c>
      <c r="F881" t="s" s="27">
        <v>1471</v>
      </c>
      <c r="G881" s="33"/>
      <c r="H881" s="34"/>
      <c r="I881" s="31"/>
      <c r="J881" s="32"/>
    </row>
    <row r="882" ht="24" customHeight="1">
      <c r="A882" t="s" s="26">
        <v>2108</v>
      </c>
      <c r="B882" t="s" s="27">
        <v>41</v>
      </c>
      <c r="C882" t="s" s="27">
        <v>838</v>
      </c>
      <c r="D882" t="s" s="27">
        <v>2109</v>
      </c>
      <c r="E882" t="s" s="27">
        <v>760</v>
      </c>
      <c r="F882" t="s" s="27">
        <v>1471</v>
      </c>
      <c r="G882" s="33"/>
      <c r="H882" s="34"/>
      <c r="I882" s="31"/>
      <c r="J882" s="32"/>
    </row>
    <row r="883" ht="16" customHeight="1">
      <c r="A883" t="s" s="26">
        <v>2110</v>
      </c>
      <c r="B883" t="s" s="27">
        <v>41</v>
      </c>
      <c r="C883" t="s" s="27">
        <v>42</v>
      </c>
      <c r="D883" t="s" s="27">
        <v>2111</v>
      </c>
      <c r="E883" t="s" s="27">
        <v>763</v>
      </c>
      <c r="F883" t="s" s="27">
        <v>1471</v>
      </c>
      <c r="G883" s="33"/>
      <c r="H883" s="34"/>
      <c r="I883" s="31"/>
      <c r="J883" s="32"/>
    </row>
    <row r="884" ht="16" customHeight="1">
      <c r="A884" t="s" s="26">
        <v>2112</v>
      </c>
      <c r="B884" t="s" s="27">
        <v>41</v>
      </c>
      <c r="C884" t="s" s="27">
        <v>838</v>
      </c>
      <c r="D884" t="s" s="27">
        <v>2113</v>
      </c>
      <c r="E884" t="s" s="27">
        <v>766</v>
      </c>
      <c r="F884" t="s" s="27">
        <v>1471</v>
      </c>
      <c r="G884" s="33"/>
      <c r="H884" s="34"/>
      <c r="I884" s="31"/>
      <c r="J884" s="32"/>
    </row>
    <row r="885" ht="16" customHeight="1">
      <c r="A885" t="s" s="26">
        <v>2114</v>
      </c>
      <c r="B885" t="s" s="27">
        <v>41</v>
      </c>
      <c r="C885" t="s" s="27">
        <v>42</v>
      </c>
      <c r="D885" t="s" s="27">
        <v>2115</v>
      </c>
      <c r="E885" t="s" s="27">
        <v>769</v>
      </c>
      <c r="F885" t="s" s="27">
        <v>1471</v>
      </c>
      <c r="G885" s="33"/>
      <c r="H885" s="34"/>
      <c r="I885" s="31"/>
      <c r="J885" s="32"/>
    </row>
    <row r="886" ht="16" customHeight="1">
      <c r="A886" t="s" s="26">
        <v>2116</v>
      </c>
      <c r="B886" t="s" s="27">
        <v>41</v>
      </c>
      <c r="C886" t="s" s="27">
        <v>2117</v>
      </c>
      <c r="D886" t="s" s="27">
        <v>2118</v>
      </c>
      <c r="E886" t="s" s="27">
        <v>769</v>
      </c>
      <c r="F886" t="s" s="27">
        <v>1471</v>
      </c>
      <c r="G886" s="33"/>
      <c r="H886" s="34"/>
      <c r="I886" s="31"/>
      <c r="J886" s="32"/>
    </row>
    <row r="887" ht="16" customHeight="1">
      <c r="A887" t="s" s="26">
        <v>2119</v>
      </c>
      <c r="B887" t="s" s="27">
        <v>41</v>
      </c>
      <c r="C887" t="s" s="27">
        <v>838</v>
      </c>
      <c r="D887" t="s" s="27">
        <v>2120</v>
      </c>
      <c r="E887" t="s" s="27">
        <v>772</v>
      </c>
      <c r="F887" t="s" s="27">
        <v>1471</v>
      </c>
      <c r="G887" s="33"/>
      <c r="H887" s="34"/>
      <c r="I887" s="31"/>
      <c r="J887" s="32"/>
    </row>
    <row r="888" ht="16" customHeight="1">
      <c r="A888" t="s" s="26">
        <v>2121</v>
      </c>
      <c r="B888" t="s" s="27">
        <v>41</v>
      </c>
      <c r="C888" t="s" s="27">
        <v>838</v>
      </c>
      <c r="D888" t="s" s="27">
        <v>2122</v>
      </c>
      <c r="E888" t="s" s="27">
        <v>772</v>
      </c>
      <c r="F888" t="s" s="27">
        <v>1471</v>
      </c>
      <c r="G888" s="33">
        <v>0</v>
      </c>
      <c r="H888" t="s" s="29">
        <v>291</v>
      </c>
      <c r="I888" s="31"/>
      <c r="J888" s="32"/>
    </row>
    <row r="889" ht="16" customHeight="1">
      <c r="A889" t="s" s="26">
        <v>2123</v>
      </c>
      <c r="B889" t="s" s="27">
        <v>41</v>
      </c>
      <c r="C889" t="s" s="27">
        <v>838</v>
      </c>
      <c r="D889" t="s" s="27">
        <v>2124</v>
      </c>
      <c r="E889" t="s" s="27">
        <v>775</v>
      </c>
      <c r="F889" t="s" s="27">
        <v>1471</v>
      </c>
      <c r="G889" s="33">
        <v>0</v>
      </c>
      <c r="H889" t="s" s="29">
        <v>291</v>
      </c>
      <c r="I889" s="31"/>
      <c r="J889" s="32"/>
    </row>
    <row r="890" ht="16" customHeight="1">
      <c r="A890" t="s" s="26">
        <v>2125</v>
      </c>
      <c r="B890" t="s" s="27">
        <v>41</v>
      </c>
      <c r="C890" t="s" s="27">
        <v>423</v>
      </c>
      <c r="D890" t="s" s="27">
        <v>2126</v>
      </c>
      <c r="E890" t="s" s="27">
        <v>781</v>
      </c>
      <c r="F890" t="s" s="27">
        <v>1471</v>
      </c>
      <c r="G890" s="33">
        <v>0</v>
      </c>
      <c r="H890" t="s" s="29">
        <v>291</v>
      </c>
      <c r="I890" s="31"/>
      <c r="J890" s="32"/>
    </row>
    <row r="891" ht="16" customHeight="1">
      <c r="A891" t="s" s="26">
        <v>2127</v>
      </c>
      <c r="B891" t="s" s="27">
        <v>41</v>
      </c>
      <c r="C891" t="s" s="27">
        <v>42</v>
      </c>
      <c r="D891" t="s" s="27">
        <v>2128</v>
      </c>
      <c r="E891" t="s" s="27">
        <v>784</v>
      </c>
      <c r="F891" t="s" s="27">
        <v>1471</v>
      </c>
      <c r="G891" s="33">
        <v>0</v>
      </c>
      <c r="H891" t="s" s="29">
        <v>291</v>
      </c>
      <c r="I891" s="31"/>
      <c r="J891" s="32"/>
    </row>
    <row r="892" ht="16" customHeight="1">
      <c r="A892" t="s" s="26">
        <v>2129</v>
      </c>
      <c r="B892" t="s" s="27">
        <v>41</v>
      </c>
      <c r="C892" t="s" s="27">
        <v>838</v>
      </c>
      <c r="D892" t="s" s="27">
        <v>2130</v>
      </c>
      <c r="E892" t="s" s="27">
        <v>787</v>
      </c>
      <c r="F892" t="s" s="27">
        <v>1471</v>
      </c>
      <c r="G892" s="33">
        <v>0</v>
      </c>
      <c r="H892" t="s" s="29">
        <v>291</v>
      </c>
      <c r="I892" s="31"/>
      <c r="J892" s="32"/>
    </row>
    <row r="893" ht="16" customHeight="1">
      <c r="A893" t="s" s="26">
        <v>2131</v>
      </c>
      <c r="B893" t="s" s="27">
        <v>41</v>
      </c>
      <c r="C893" t="s" s="27">
        <v>838</v>
      </c>
      <c r="D893" t="s" s="27">
        <v>2132</v>
      </c>
      <c r="E893" t="s" s="27">
        <v>787</v>
      </c>
      <c r="F893" t="s" s="27">
        <v>1471</v>
      </c>
      <c r="G893" s="33">
        <v>0</v>
      </c>
      <c r="H893" t="s" s="29">
        <v>291</v>
      </c>
      <c r="I893" s="31"/>
      <c r="J893" s="32"/>
    </row>
    <row r="894" ht="16" customHeight="1">
      <c r="A894" t="s" s="26">
        <v>2133</v>
      </c>
      <c r="B894" t="s" s="27">
        <v>41</v>
      </c>
      <c r="C894" t="s" s="27">
        <v>838</v>
      </c>
      <c r="D894" t="s" s="27">
        <v>2134</v>
      </c>
      <c r="E894" t="s" s="27">
        <v>790</v>
      </c>
      <c r="F894" t="s" s="27">
        <v>1471</v>
      </c>
      <c r="G894" s="33">
        <v>0</v>
      </c>
      <c r="H894" t="s" s="29">
        <v>291</v>
      </c>
      <c r="I894" s="31"/>
      <c r="J894" s="32"/>
    </row>
    <row r="895" ht="16" customHeight="1">
      <c r="A895" t="s" s="26">
        <v>2135</v>
      </c>
      <c r="B895" t="s" s="27">
        <v>41</v>
      </c>
      <c r="C895" t="s" s="27">
        <v>42</v>
      </c>
      <c r="D895" t="s" s="27">
        <v>2136</v>
      </c>
      <c r="E895" t="s" s="27">
        <v>790</v>
      </c>
      <c r="F895" t="s" s="27">
        <v>1471</v>
      </c>
      <c r="G895" s="33">
        <v>0</v>
      </c>
      <c r="H895" t="s" s="29">
        <v>291</v>
      </c>
      <c r="I895" s="31"/>
      <c r="J895" s="32"/>
    </row>
    <row r="896" ht="16" customHeight="1">
      <c r="A896" t="s" s="26">
        <v>2137</v>
      </c>
      <c r="B896" t="s" s="27">
        <v>41</v>
      </c>
      <c r="C896" t="s" s="27">
        <v>838</v>
      </c>
      <c r="D896" t="s" s="27">
        <v>2138</v>
      </c>
      <c r="E896" t="s" s="27">
        <v>793</v>
      </c>
      <c r="F896" t="s" s="27">
        <v>1471</v>
      </c>
      <c r="G896" s="33">
        <v>0</v>
      </c>
      <c r="H896" t="s" s="29">
        <v>291</v>
      </c>
      <c r="I896" s="31"/>
      <c r="J896" s="32"/>
    </row>
    <row r="897" ht="16" customHeight="1">
      <c r="A897" t="s" s="26">
        <v>2139</v>
      </c>
      <c r="B897" t="s" s="27">
        <v>41</v>
      </c>
      <c r="C897" t="s" s="27">
        <v>838</v>
      </c>
      <c r="D897" t="s" s="27">
        <v>2140</v>
      </c>
      <c r="E897" t="s" s="27">
        <v>796</v>
      </c>
      <c r="F897" t="s" s="27">
        <v>1471</v>
      </c>
      <c r="G897" s="33">
        <v>0</v>
      </c>
      <c r="H897" t="s" s="29">
        <v>291</v>
      </c>
      <c r="I897" s="31"/>
      <c r="J897" s="32"/>
    </row>
    <row r="898" ht="16" customHeight="1">
      <c r="A898" t="s" s="26">
        <v>2141</v>
      </c>
      <c r="B898" t="s" s="27">
        <v>41</v>
      </c>
      <c r="C898" t="s" s="27">
        <v>42</v>
      </c>
      <c r="D898" t="s" s="27">
        <v>2142</v>
      </c>
      <c r="E898" t="s" s="27">
        <v>799</v>
      </c>
      <c r="F898" t="s" s="27">
        <v>1471</v>
      </c>
      <c r="G898" s="33">
        <v>0</v>
      </c>
      <c r="H898" t="s" s="29">
        <v>291</v>
      </c>
      <c r="I898" s="31"/>
      <c r="J898" s="32"/>
    </row>
    <row r="899" ht="16" customHeight="1">
      <c r="A899" t="s" s="26">
        <v>2143</v>
      </c>
      <c r="B899" t="s" s="27">
        <v>41</v>
      </c>
      <c r="C899" t="s" s="27">
        <v>838</v>
      </c>
      <c r="D899" t="s" s="27">
        <v>2144</v>
      </c>
      <c r="E899" t="s" s="27">
        <v>802</v>
      </c>
      <c r="F899" t="s" s="27">
        <v>1471</v>
      </c>
      <c r="G899" s="33">
        <v>0</v>
      </c>
      <c r="H899" t="s" s="29">
        <v>291</v>
      </c>
      <c r="I899" s="31"/>
      <c r="J899" s="32"/>
    </row>
    <row r="900" ht="16" customHeight="1">
      <c r="A900" t="s" s="26">
        <v>2145</v>
      </c>
      <c r="B900" t="s" s="27">
        <v>41</v>
      </c>
      <c r="C900" t="s" s="27">
        <v>42</v>
      </c>
      <c r="D900" t="s" s="27">
        <v>2146</v>
      </c>
      <c r="E900" t="s" s="27">
        <v>805</v>
      </c>
      <c r="F900" t="s" s="27">
        <v>1471</v>
      </c>
      <c r="G900" s="33"/>
      <c r="H900" s="34"/>
      <c r="I900" s="31"/>
      <c r="J900" s="32"/>
    </row>
    <row r="901" ht="16" customHeight="1">
      <c r="A901" t="s" s="26">
        <v>2147</v>
      </c>
      <c r="B901" t="s" s="27">
        <v>41</v>
      </c>
      <c r="C901" t="s" s="27">
        <v>838</v>
      </c>
      <c r="D901" t="s" s="27">
        <v>2148</v>
      </c>
      <c r="E901" t="s" s="27">
        <v>805</v>
      </c>
      <c r="F901" t="s" s="27">
        <v>1471</v>
      </c>
      <c r="G901" s="33"/>
      <c r="H901" s="34"/>
      <c r="I901" s="31"/>
      <c r="J901" s="32"/>
    </row>
    <row r="902" ht="16" customHeight="1">
      <c r="A902" t="s" s="26">
        <v>2149</v>
      </c>
      <c r="B902" t="s" s="27">
        <v>41</v>
      </c>
      <c r="C902" t="s" s="27">
        <v>42</v>
      </c>
      <c r="D902" t="s" s="27">
        <v>2150</v>
      </c>
      <c r="E902" t="s" s="27">
        <v>808</v>
      </c>
      <c r="F902" t="s" s="27">
        <v>1471</v>
      </c>
      <c r="G902" s="33"/>
      <c r="H902" s="34"/>
      <c r="I902" s="31"/>
      <c r="J902" s="32"/>
    </row>
    <row r="903" ht="16" customHeight="1">
      <c r="A903" t="s" s="26">
        <v>2151</v>
      </c>
      <c r="B903" t="s" s="27">
        <v>41</v>
      </c>
      <c r="C903" t="s" s="27">
        <v>423</v>
      </c>
      <c r="D903" t="s" s="27">
        <v>2152</v>
      </c>
      <c r="E903" t="s" s="27">
        <v>808</v>
      </c>
      <c r="F903" t="s" s="27">
        <v>1471</v>
      </c>
      <c r="G903" s="33"/>
      <c r="H903" s="34"/>
      <c r="I903" s="31"/>
      <c r="J903" s="32"/>
    </row>
    <row r="904" ht="16" customHeight="1">
      <c r="A904" t="s" s="26">
        <v>2153</v>
      </c>
      <c r="B904" t="s" s="27">
        <v>41</v>
      </c>
      <c r="C904" t="s" s="27">
        <v>423</v>
      </c>
      <c r="D904" t="s" s="27">
        <v>2154</v>
      </c>
      <c r="E904" t="s" s="27">
        <v>811</v>
      </c>
      <c r="F904" t="s" s="27">
        <v>1471</v>
      </c>
      <c r="G904" s="33"/>
      <c r="H904" s="34"/>
      <c r="I904" s="31"/>
      <c r="J904" s="32"/>
    </row>
    <row r="905" ht="16" customHeight="1">
      <c r="A905" t="s" s="26">
        <v>2155</v>
      </c>
      <c r="B905" t="s" s="27">
        <v>41</v>
      </c>
      <c r="C905" t="s" s="27">
        <v>423</v>
      </c>
      <c r="D905" t="s" s="27">
        <v>2156</v>
      </c>
      <c r="E905" t="s" s="27">
        <v>814</v>
      </c>
      <c r="F905" t="s" s="27">
        <v>1471</v>
      </c>
      <c r="G905" s="33"/>
      <c r="H905" s="34"/>
      <c r="I905" s="31"/>
      <c r="J905" s="32"/>
    </row>
    <row r="906" ht="16" customHeight="1">
      <c r="A906" t="s" s="26">
        <v>2157</v>
      </c>
      <c r="B906" t="s" s="27">
        <v>41</v>
      </c>
      <c r="C906" t="s" s="27">
        <v>423</v>
      </c>
      <c r="D906" t="s" s="27">
        <v>2158</v>
      </c>
      <c r="E906" t="s" s="27">
        <v>817</v>
      </c>
      <c r="F906" t="s" s="27">
        <v>1471</v>
      </c>
      <c r="G906" s="33"/>
      <c r="H906" s="34"/>
      <c r="I906" s="31"/>
      <c r="J906" s="32"/>
    </row>
    <row r="907" ht="16" customHeight="1">
      <c r="A907" t="s" s="26">
        <v>2159</v>
      </c>
      <c r="B907" t="s" s="27">
        <v>41</v>
      </c>
      <c r="C907" t="s" s="27">
        <v>838</v>
      </c>
      <c r="D907" t="s" s="27">
        <v>1816</v>
      </c>
      <c r="E907" t="s" s="27">
        <v>820</v>
      </c>
      <c r="F907" t="s" s="27">
        <v>1471</v>
      </c>
      <c r="G907" s="33"/>
      <c r="H907" s="34"/>
      <c r="I907" s="31"/>
      <c r="J907" s="32"/>
    </row>
    <row r="908" ht="16" customHeight="1">
      <c r="A908" t="s" s="26">
        <v>2160</v>
      </c>
      <c r="B908" t="s" s="27">
        <v>41</v>
      </c>
      <c r="C908" t="s" s="27">
        <v>838</v>
      </c>
      <c r="D908" t="s" s="27">
        <v>2161</v>
      </c>
      <c r="E908" t="s" s="27">
        <v>823</v>
      </c>
      <c r="F908" t="s" s="27">
        <v>1471</v>
      </c>
      <c r="G908" s="33"/>
      <c r="H908" s="34"/>
      <c r="I908" s="31"/>
      <c r="J908" s="32"/>
    </row>
    <row r="909" ht="16" customHeight="1">
      <c r="A909" t="s" s="26">
        <v>2162</v>
      </c>
      <c r="B909" t="s" s="27">
        <v>41</v>
      </c>
      <c r="C909" t="s" s="27">
        <v>838</v>
      </c>
      <c r="D909" t="s" s="27">
        <v>2163</v>
      </c>
      <c r="E909" t="s" s="27">
        <v>823</v>
      </c>
      <c r="F909" t="s" s="27">
        <v>1471</v>
      </c>
      <c r="G909" s="33"/>
      <c r="H909" s="34"/>
      <c r="I909" s="31"/>
      <c r="J909" s="32"/>
    </row>
    <row r="910" ht="16" customHeight="1">
      <c r="A910" t="s" s="26">
        <v>2164</v>
      </c>
      <c r="B910" t="s" s="27">
        <v>41</v>
      </c>
      <c r="C910" t="s" s="27">
        <v>42</v>
      </c>
      <c r="D910" t="s" s="27">
        <v>2165</v>
      </c>
      <c r="E910" t="s" s="27">
        <v>826</v>
      </c>
      <c r="F910" t="s" s="27">
        <v>1471</v>
      </c>
      <c r="G910" s="33"/>
      <c r="H910" s="34"/>
      <c r="I910" s="31"/>
      <c r="J910" s="32"/>
    </row>
    <row r="911" ht="16" customHeight="1">
      <c r="A911" t="s" s="26">
        <v>2166</v>
      </c>
      <c r="B911" t="s" s="27">
        <v>41</v>
      </c>
      <c r="C911" t="s" s="27">
        <v>838</v>
      </c>
      <c r="D911" t="s" s="27">
        <v>2167</v>
      </c>
      <c r="E911" t="s" s="27">
        <v>826</v>
      </c>
      <c r="F911" t="s" s="27">
        <v>1471</v>
      </c>
      <c r="G911" s="33"/>
      <c r="H911" s="34"/>
      <c r="I911" s="31"/>
      <c r="J911" s="32"/>
    </row>
    <row r="912" ht="16" customHeight="1">
      <c r="A912" t="s" s="26">
        <v>2168</v>
      </c>
      <c r="B912" t="s" s="27">
        <v>41</v>
      </c>
      <c r="C912" t="s" s="27">
        <v>42</v>
      </c>
      <c r="D912" t="s" s="27">
        <v>2169</v>
      </c>
      <c r="E912" t="s" s="27">
        <v>829</v>
      </c>
      <c r="F912" t="s" s="27">
        <v>1471</v>
      </c>
      <c r="G912" s="33"/>
      <c r="H912" s="34"/>
      <c r="I912" s="31"/>
      <c r="J912" s="32"/>
    </row>
    <row r="913" ht="16" customHeight="1">
      <c r="A913" t="s" s="26">
        <v>2170</v>
      </c>
      <c r="B913" t="s" s="27">
        <v>41</v>
      </c>
      <c r="C913" t="s" s="27">
        <v>42</v>
      </c>
      <c r="D913" t="s" s="27">
        <v>2171</v>
      </c>
      <c r="E913" t="s" s="27">
        <v>832</v>
      </c>
      <c r="F913" t="s" s="27">
        <v>1471</v>
      </c>
      <c r="G913" s="33"/>
      <c r="H913" s="34"/>
      <c r="I913" s="31"/>
      <c r="J913" s="32"/>
    </row>
    <row r="914" ht="16" customHeight="1">
      <c r="A914" t="s" s="26">
        <v>2172</v>
      </c>
      <c r="B914" t="s" s="27">
        <v>41</v>
      </c>
      <c r="C914" t="s" s="27">
        <v>42</v>
      </c>
      <c r="D914" t="s" s="27">
        <v>2173</v>
      </c>
      <c r="E914" t="s" s="27">
        <v>835</v>
      </c>
      <c r="F914" t="s" s="27">
        <v>2174</v>
      </c>
      <c r="G914" s="33"/>
      <c r="H914" s="34"/>
      <c r="I914" s="31"/>
      <c r="J914" s="32"/>
    </row>
    <row r="915" ht="16" customHeight="1">
      <c r="A915" t="s" s="26">
        <v>2175</v>
      </c>
      <c r="B915" t="s" s="27">
        <v>41</v>
      </c>
      <c r="C915" t="s" s="27">
        <v>42</v>
      </c>
      <c r="D915" t="s" s="27">
        <v>2176</v>
      </c>
      <c r="E915" t="s" s="27">
        <v>51</v>
      </c>
      <c r="F915" t="s" s="27">
        <v>2174</v>
      </c>
      <c r="G915" s="33"/>
      <c r="H915" s="34"/>
      <c r="I915" s="31"/>
      <c r="J915" s="32"/>
    </row>
    <row r="916" ht="16" customHeight="1">
      <c r="A916" t="s" s="26">
        <v>2177</v>
      </c>
      <c r="B916" t="s" s="27">
        <v>41</v>
      </c>
      <c r="C916" t="s" s="27">
        <v>838</v>
      </c>
      <c r="D916" t="s" s="27">
        <v>2178</v>
      </c>
      <c r="E916" t="s" s="27">
        <v>55</v>
      </c>
      <c r="F916" t="s" s="27">
        <v>2174</v>
      </c>
      <c r="G916" s="33"/>
      <c r="H916" s="34"/>
      <c r="I916" s="31"/>
      <c r="J916" s="32"/>
    </row>
    <row r="917" ht="24" customHeight="1">
      <c r="A917" t="s" s="26">
        <v>2179</v>
      </c>
      <c r="B917" t="s" s="27">
        <v>41</v>
      </c>
      <c r="C917" t="s" s="27">
        <v>42</v>
      </c>
      <c r="D917" t="s" s="27">
        <v>2180</v>
      </c>
      <c r="E917" t="s" s="27">
        <v>846</v>
      </c>
      <c r="F917" t="s" s="27">
        <v>2174</v>
      </c>
      <c r="G917" s="33"/>
      <c r="H917" s="34"/>
      <c r="I917" s="31"/>
      <c r="J917" s="32"/>
    </row>
    <row r="918" ht="16" customHeight="1">
      <c r="A918" t="s" s="26">
        <v>2181</v>
      </c>
      <c r="B918" t="s" s="27">
        <v>41</v>
      </c>
      <c r="C918" t="s" s="27">
        <v>42</v>
      </c>
      <c r="D918" t="s" s="27">
        <v>2182</v>
      </c>
      <c r="E918" t="s" s="27">
        <v>59</v>
      </c>
      <c r="F918" t="s" s="27">
        <v>2174</v>
      </c>
      <c r="G918" s="33"/>
      <c r="H918" s="34"/>
      <c r="I918" s="31"/>
      <c r="J918" s="32"/>
    </row>
    <row r="919" ht="16" customHeight="1">
      <c r="A919" t="s" s="26">
        <v>2183</v>
      </c>
      <c r="B919" t="s" s="27">
        <v>41</v>
      </c>
      <c r="C919" t="s" s="27">
        <v>838</v>
      </c>
      <c r="D919" t="s" s="27">
        <v>2184</v>
      </c>
      <c r="E919" t="s" s="27">
        <v>63</v>
      </c>
      <c r="F919" t="s" s="27">
        <v>2174</v>
      </c>
      <c r="G919" s="33"/>
      <c r="H919" s="34"/>
      <c r="I919" s="31"/>
      <c r="J919" s="32"/>
    </row>
    <row r="920" ht="16" customHeight="1">
      <c r="A920" t="s" s="26">
        <v>2185</v>
      </c>
      <c r="B920" t="s" s="27">
        <v>41</v>
      </c>
      <c r="C920" t="s" s="27">
        <v>42</v>
      </c>
      <c r="D920" t="s" s="27">
        <v>2186</v>
      </c>
      <c r="E920" t="s" s="27">
        <v>66</v>
      </c>
      <c r="F920" t="s" s="27">
        <v>2174</v>
      </c>
      <c r="G920" s="33"/>
      <c r="H920" s="34"/>
      <c r="I920" s="31"/>
      <c r="J920" s="32"/>
    </row>
    <row r="921" ht="16" customHeight="1">
      <c r="A921" t="s" s="26">
        <v>2187</v>
      </c>
      <c r="B921" t="s" s="27">
        <v>41</v>
      </c>
      <c r="C921" t="s" s="27">
        <v>42</v>
      </c>
      <c r="D921" t="s" s="27">
        <v>2188</v>
      </c>
      <c r="E921" t="s" s="27">
        <v>857</v>
      </c>
      <c r="F921" t="s" s="27">
        <v>2174</v>
      </c>
      <c r="G921" s="33"/>
      <c r="H921" s="34"/>
      <c r="I921" s="31"/>
      <c r="J921" s="32"/>
    </row>
    <row r="922" ht="16" customHeight="1">
      <c r="A922" t="s" s="26">
        <v>2189</v>
      </c>
      <c r="B922" t="s" s="27">
        <v>41</v>
      </c>
      <c r="C922" t="s" s="27">
        <v>42</v>
      </c>
      <c r="D922" t="s" s="27">
        <v>2190</v>
      </c>
      <c r="E922" t="s" s="27">
        <v>860</v>
      </c>
      <c r="F922" t="s" s="27">
        <v>2174</v>
      </c>
      <c r="G922" s="33"/>
      <c r="H922" s="34"/>
      <c r="I922" s="31"/>
      <c r="J922" s="32"/>
    </row>
    <row r="923" ht="16" customHeight="1">
      <c r="A923" t="s" s="26">
        <v>2191</v>
      </c>
      <c r="B923" t="s" s="27">
        <v>41</v>
      </c>
      <c r="C923" t="s" s="27">
        <v>423</v>
      </c>
      <c r="D923" t="s" s="27">
        <v>2192</v>
      </c>
      <c r="E923" t="s" s="27">
        <v>863</v>
      </c>
      <c r="F923" t="s" s="27">
        <v>2174</v>
      </c>
      <c r="G923" s="33">
        <v>1</v>
      </c>
      <c r="H923" t="s" s="29">
        <v>403</v>
      </c>
      <c r="I923" s="31"/>
      <c r="J923" s="32"/>
    </row>
    <row r="924" ht="16" customHeight="1">
      <c r="A924" t="s" s="26">
        <v>2193</v>
      </c>
      <c r="B924" t="s" s="27">
        <v>41</v>
      </c>
      <c r="C924" t="s" s="27">
        <v>838</v>
      </c>
      <c r="D924" t="s" s="27">
        <v>2194</v>
      </c>
      <c r="E924" t="s" s="27">
        <v>70</v>
      </c>
      <c r="F924" t="s" s="27">
        <v>2174</v>
      </c>
      <c r="G924" s="33"/>
      <c r="H924" s="34"/>
      <c r="I924" s="31"/>
      <c r="J924" s="32"/>
    </row>
    <row r="925" ht="16" customHeight="1">
      <c r="A925" t="s" s="26">
        <v>2195</v>
      </c>
      <c r="B925" t="s" s="27">
        <v>41</v>
      </c>
      <c r="C925" t="s" s="27">
        <v>42</v>
      </c>
      <c r="D925" t="s" s="27">
        <v>2196</v>
      </c>
      <c r="E925" t="s" s="27">
        <v>75</v>
      </c>
      <c r="F925" t="s" s="27">
        <v>2174</v>
      </c>
      <c r="G925" s="33"/>
      <c r="H925" s="34"/>
      <c r="I925" s="31"/>
      <c r="J925" s="32"/>
    </row>
    <row r="926" ht="16" customHeight="1">
      <c r="A926" t="s" s="26">
        <v>2197</v>
      </c>
      <c r="B926" t="s" s="27">
        <v>41</v>
      </c>
      <c r="C926" t="s" s="27">
        <v>42</v>
      </c>
      <c r="D926" t="s" s="27">
        <v>2198</v>
      </c>
      <c r="E926" t="s" s="27">
        <v>78</v>
      </c>
      <c r="F926" t="s" s="27">
        <v>2174</v>
      </c>
      <c r="G926" s="33"/>
      <c r="H926" s="34"/>
      <c r="I926" s="31"/>
      <c r="J926" s="32"/>
    </row>
    <row r="927" ht="16" customHeight="1">
      <c r="A927" t="s" s="26">
        <v>2199</v>
      </c>
      <c r="B927" t="s" s="27">
        <v>41</v>
      </c>
      <c r="C927" t="s" s="27">
        <v>42</v>
      </c>
      <c r="D927" t="s" s="27">
        <v>2200</v>
      </c>
      <c r="E927" t="s" s="27">
        <v>81</v>
      </c>
      <c r="F927" t="s" s="27">
        <v>2174</v>
      </c>
      <c r="G927" s="33"/>
      <c r="H927" s="34"/>
      <c r="I927" s="31"/>
      <c r="J927" s="32"/>
    </row>
    <row r="928" ht="16" customHeight="1">
      <c r="A928" t="s" s="26">
        <v>2201</v>
      </c>
      <c r="B928" t="s" s="27">
        <v>41</v>
      </c>
      <c r="C928" t="s" s="27">
        <v>838</v>
      </c>
      <c r="D928" t="s" s="27">
        <v>2202</v>
      </c>
      <c r="E928" t="s" s="27">
        <v>84</v>
      </c>
      <c r="F928" t="s" s="27">
        <v>2174</v>
      </c>
      <c r="G928" s="33" cm="1">
        <f t="array" ref="G928">RAND()*6</f>
        <v>1.28557413874134</v>
      </c>
      <c r="H928" s="34"/>
      <c r="I928" s="31"/>
      <c r="J928" s="32"/>
    </row>
    <row r="929" ht="16" customHeight="1">
      <c r="A929" t="s" s="26">
        <v>2203</v>
      </c>
      <c r="B929" t="s" s="27">
        <v>41</v>
      </c>
      <c r="C929" t="s" s="27">
        <v>838</v>
      </c>
      <c r="D929" t="s" s="27">
        <v>2204</v>
      </c>
      <c r="E929" t="s" s="27">
        <v>87</v>
      </c>
      <c r="F929" t="s" s="27">
        <v>2174</v>
      </c>
      <c r="G929" s="33" cm="1">
        <f t="array" ref="G929">RAND()*6</f>
        <v>4.522736265893</v>
      </c>
      <c r="H929" s="34"/>
      <c r="I929" s="31"/>
      <c r="J929" s="32"/>
    </row>
    <row r="930" ht="16" customHeight="1">
      <c r="A930" t="s" s="26">
        <v>2205</v>
      </c>
      <c r="B930" t="s" s="27">
        <v>41</v>
      </c>
      <c r="C930" t="s" s="27">
        <v>838</v>
      </c>
      <c r="D930" t="s" s="27">
        <v>850</v>
      </c>
      <c r="E930" t="s" s="27">
        <v>91</v>
      </c>
      <c r="F930" t="s" s="27">
        <v>2174</v>
      </c>
      <c r="G930" s="33" cm="1">
        <f t="array" ref="G930">RAND()*6</f>
        <v>3.64123502562738</v>
      </c>
      <c r="H930" s="34"/>
      <c r="I930" s="31"/>
      <c r="J930" s="32"/>
    </row>
    <row r="931" ht="16" customHeight="1">
      <c r="A931" t="s" s="26">
        <v>2206</v>
      </c>
      <c r="B931" t="s" s="27">
        <v>41</v>
      </c>
      <c r="C931" t="s" s="27">
        <v>838</v>
      </c>
      <c r="D931" t="s" s="27">
        <v>2207</v>
      </c>
      <c r="E931" t="s" s="27">
        <v>94</v>
      </c>
      <c r="F931" t="s" s="27">
        <v>2174</v>
      </c>
      <c r="G931" s="33" cm="1">
        <f t="array" ref="G931">RAND()*6</f>
        <v>1.58408816555752</v>
      </c>
      <c r="H931" s="34"/>
      <c r="I931" s="31"/>
      <c r="J931" s="32"/>
    </row>
    <row r="932" ht="16" customHeight="1">
      <c r="A932" t="s" s="26">
        <v>2208</v>
      </c>
      <c r="B932" t="s" s="27">
        <v>41</v>
      </c>
      <c r="C932" t="s" s="27">
        <v>423</v>
      </c>
      <c r="D932" t="s" s="27">
        <v>2209</v>
      </c>
      <c r="E932" t="s" s="27">
        <v>97</v>
      </c>
      <c r="F932" t="s" s="27">
        <v>2174</v>
      </c>
      <c r="G932" s="33" cm="1">
        <f t="array" ref="G932">RAND()*6</f>
        <v>0.382787075208495</v>
      </c>
      <c r="H932" s="34"/>
      <c r="I932" s="31"/>
      <c r="J932" s="32"/>
    </row>
    <row r="933" ht="16" customHeight="1">
      <c r="A933" t="s" s="26">
        <v>2210</v>
      </c>
      <c r="B933" t="s" s="27">
        <v>41</v>
      </c>
      <c r="C933" t="s" s="27">
        <v>838</v>
      </c>
      <c r="D933" t="s" s="27">
        <v>2211</v>
      </c>
      <c r="E933" t="s" s="27">
        <v>100</v>
      </c>
      <c r="F933" t="s" s="27">
        <v>2174</v>
      </c>
      <c r="G933" s="33" cm="1">
        <f t="array" ref="G933">RAND()*6</f>
        <v>5.15088678343876</v>
      </c>
      <c r="H933" s="34"/>
      <c r="I933" s="31"/>
      <c r="J933" s="32"/>
    </row>
    <row r="934" ht="16" customHeight="1">
      <c r="A934" t="s" s="26">
        <v>2212</v>
      </c>
      <c r="B934" t="s" s="27">
        <v>41</v>
      </c>
      <c r="C934" t="s" s="27">
        <v>42</v>
      </c>
      <c r="D934" t="s" s="27">
        <v>2213</v>
      </c>
      <c r="E934" t="s" s="27">
        <v>103</v>
      </c>
      <c r="F934" t="s" s="27">
        <v>2174</v>
      </c>
      <c r="G934" s="33" cm="1">
        <f t="array" ref="G934">RAND()*6</f>
        <v>4.02227019934326</v>
      </c>
      <c r="H934" s="34"/>
      <c r="I934" s="31"/>
      <c r="J934" s="32"/>
    </row>
    <row r="935" ht="16" customHeight="1">
      <c r="A935" t="s" s="26">
        <v>2214</v>
      </c>
      <c r="B935" t="s" s="27">
        <v>41</v>
      </c>
      <c r="C935" t="s" s="27">
        <v>42</v>
      </c>
      <c r="D935" t="s" s="27">
        <v>2215</v>
      </c>
      <c r="E935" t="s" s="27">
        <v>106</v>
      </c>
      <c r="F935" t="s" s="27">
        <v>2174</v>
      </c>
      <c r="G935" s="33" cm="1">
        <f t="array" ref="G935">RAND()*6</f>
        <v>0.165521113222235</v>
      </c>
      <c r="H935" s="34"/>
      <c r="I935" s="31"/>
      <c r="J935" s="32"/>
    </row>
    <row r="936" ht="16" customHeight="1">
      <c r="A936" t="s" s="26">
        <v>2216</v>
      </c>
      <c r="B936" t="s" s="27">
        <v>41</v>
      </c>
      <c r="C936" t="s" s="27">
        <v>423</v>
      </c>
      <c r="D936" t="s" s="27">
        <v>2217</v>
      </c>
      <c r="E936" t="s" s="27">
        <v>113</v>
      </c>
      <c r="F936" t="s" s="27">
        <v>2174</v>
      </c>
      <c r="G936" s="33" cm="1">
        <f t="array" ref="G936">RAND()*6</f>
        <v>2.06955695436114</v>
      </c>
      <c r="H936" s="34"/>
      <c r="I936" s="31"/>
      <c r="J936" s="32"/>
    </row>
    <row r="937" ht="24" customHeight="1">
      <c r="A937" t="s" s="26">
        <v>2218</v>
      </c>
      <c r="B937" t="s" s="27">
        <v>41</v>
      </c>
      <c r="C937" t="s" s="27">
        <v>423</v>
      </c>
      <c r="D937" t="s" s="27">
        <v>2219</v>
      </c>
      <c r="E937" t="s" s="27">
        <v>116</v>
      </c>
      <c r="F937" t="s" s="27">
        <v>2174</v>
      </c>
      <c r="G937" s="33" cm="1">
        <f t="array" ref="G937">RAND()*6</f>
        <v>2.96849645124045</v>
      </c>
      <c r="H937" s="34"/>
      <c r="I937" s="31"/>
      <c r="J937" s="32"/>
    </row>
    <row r="938" ht="16" customHeight="1">
      <c r="A938" t="s" s="26">
        <v>2220</v>
      </c>
      <c r="B938" t="s" s="27">
        <v>41</v>
      </c>
      <c r="C938" t="s" s="27">
        <v>838</v>
      </c>
      <c r="D938" t="s" s="27">
        <v>2221</v>
      </c>
      <c r="E938" t="s" s="27">
        <v>119</v>
      </c>
      <c r="F938" t="s" s="27">
        <v>2174</v>
      </c>
      <c r="G938" s="33" cm="1">
        <f t="array" ref="G938">RAND()*6</f>
        <v>2.15439010231451</v>
      </c>
      <c r="H938" s="34"/>
      <c r="I938" s="31"/>
      <c r="J938" s="32"/>
    </row>
    <row r="939" ht="16" customHeight="1">
      <c r="A939" t="s" s="26">
        <v>2222</v>
      </c>
      <c r="B939" t="s" s="27">
        <v>41</v>
      </c>
      <c r="C939" t="s" s="27">
        <v>42</v>
      </c>
      <c r="D939" t="s" s="27">
        <v>2223</v>
      </c>
      <c r="E939" t="s" s="27">
        <v>122</v>
      </c>
      <c r="F939" t="s" s="27">
        <v>2174</v>
      </c>
      <c r="G939" s="33"/>
      <c r="H939" s="34"/>
      <c r="I939" s="31"/>
      <c r="J939" s="32"/>
    </row>
    <row r="940" ht="16" customHeight="1">
      <c r="A940" t="s" s="26">
        <v>2224</v>
      </c>
      <c r="B940" t="s" s="27">
        <v>41</v>
      </c>
      <c r="C940" t="s" s="27">
        <v>838</v>
      </c>
      <c r="D940" t="s" s="27">
        <v>2225</v>
      </c>
      <c r="E940" t="s" s="27">
        <v>125</v>
      </c>
      <c r="F940" t="s" s="27">
        <v>2174</v>
      </c>
      <c r="G940" s="33"/>
      <c r="H940" s="34"/>
      <c r="I940" s="31"/>
      <c r="J940" s="32"/>
    </row>
    <row r="941" ht="16" customHeight="1">
      <c r="A941" t="s" s="26">
        <v>2226</v>
      </c>
      <c r="B941" t="s" s="27">
        <v>41</v>
      </c>
      <c r="C941" t="s" s="27">
        <v>838</v>
      </c>
      <c r="D941" t="s" s="27">
        <v>2227</v>
      </c>
      <c r="E941" t="s" s="27">
        <v>128</v>
      </c>
      <c r="F941" t="s" s="27">
        <v>2174</v>
      </c>
      <c r="G941" s="33"/>
      <c r="H941" s="34"/>
      <c r="I941" s="31"/>
      <c r="J941" s="32"/>
    </row>
    <row r="942" ht="16" customHeight="1">
      <c r="A942" t="s" s="26">
        <v>2228</v>
      </c>
      <c r="B942" t="s" s="27">
        <v>41</v>
      </c>
      <c r="C942" t="s" s="27">
        <v>42</v>
      </c>
      <c r="D942" t="s" s="27">
        <v>2229</v>
      </c>
      <c r="E942" t="s" s="27">
        <v>911</v>
      </c>
      <c r="F942" t="s" s="27">
        <v>2174</v>
      </c>
      <c r="G942" s="33"/>
      <c r="H942" s="34"/>
      <c r="I942" s="31"/>
      <c r="J942" s="32"/>
    </row>
    <row r="943" ht="16" customHeight="1">
      <c r="A943" t="s" s="26">
        <v>2230</v>
      </c>
      <c r="B943" t="s" s="27">
        <v>41</v>
      </c>
      <c r="C943" t="s" s="27">
        <v>42</v>
      </c>
      <c r="D943" t="s" s="27">
        <v>2231</v>
      </c>
      <c r="E943" t="s" s="27">
        <v>914</v>
      </c>
      <c r="F943" t="s" s="27">
        <v>2174</v>
      </c>
      <c r="G943" s="33"/>
      <c r="H943" s="34"/>
      <c r="I943" s="31"/>
      <c r="J943" s="32"/>
    </row>
    <row r="944" ht="16" customHeight="1">
      <c r="A944" t="s" s="26">
        <v>2232</v>
      </c>
      <c r="B944" t="s" s="27">
        <v>41</v>
      </c>
      <c r="C944" t="s" s="27">
        <v>42</v>
      </c>
      <c r="D944" t="s" s="27">
        <v>2233</v>
      </c>
      <c r="E944" t="s" s="27">
        <v>917</v>
      </c>
      <c r="F944" t="s" s="27">
        <v>2174</v>
      </c>
      <c r="G944" s="33"/>
      <c r="H944" s="34"/>
      <c r="I944" s="31"/>
      <c r="J944" s="32"/>
    </row>
    <row r="945" ht="16" customHeight="1">
      <c r="A945" t="s" s="26">
        <v>2234</v>
      </c>
      <c r="B945" t="s" s="27">
        <v>41</v>
      </c>
      <c r="C945" t="s" s="27">
        <v>838</v>
      </c>
      <c r="D945" t="s" s="27">
        <v>2235</v>
      </c>
      <c r="E945" t="s" s="27">
        <v>131</v>
      </c>
      <c r="F945" t="s" s="27">
        <v>2174</v>
      </c>
      <c r="G945" s="33"/>
      <c r="H945" s="34"/>
      <c r="I945" s="31"/>
      <c r="J945" s="32"/>
    </row>
    <row r="946" ht="16" customHeight="1">
      <c r="A946" t="s" s="26">
        <v>2236</v>
      </c>
      <c r="B946" t="s" s="27">
        <v>41</v>
      </c>
      <c r="C946" t="s" s="27">
        <v>423</v>
      </c>
      <c r="D946" t="s" s="27">
        <v>2237</v>
      </c>
      <c r="E946" t="s" s="27">
        <v>137</v>
      </c>
      <c r="F946" t="s" s="27">
        <v>2174</v>
      </c>
      <c r="G946" s="33"/>
      <c r="H946" s="34"/>
      <c r="I946" s="31"/>
      <c r="J946" s="32"/>
    </row>
    <row r="947" ht="16" customHeight="1">
      <c r="A947" t="s" s="26">
        <v>2238</v>
      </c>
      <c r="B947" t="s" s="27">
        <v>41</v>
      </c>
      <c r="C947" t="s" s="27">
        <v>838</v>
      </c>
      <c r="D947" t="s" s="27">
        <v>2239</v>
      </c>
      <c r="E947" t="s" s="27">
        <v>140</v>
      </c>
      <c r="F947" t="s" s="27">
        <v>2174</v>
      </c>
      <c r="G947" s="33"/>
      <c r="H947" s="34"/>
      <c r="I947" s="31"/>
      <c r="J947" s="32"/>
    </row>
    <row r="948" ht="16" customHeight="1">
      <c r="A948" t="s" s="26">
        <v>2240</v>
      </c>
      <c r="B948" t="s" s="27">
        <v>41</v>
      </c>
      <c r="C948" t="s" s="27">
        <v>42</v>
      </c>
      <c r="D948" t="s" s="27">
        <v>2241</v>
      </c>
      <c r="E948" t="s" s="27">
        <v>928</v>
      </c>
      <c r="F948" t="s" s="27">
        <v>2174</v>
      </c>
      <c r="G948" s="33"/>
      <c r="H948" s="34"/>
      <c r="I948" s="31"/>
      <c r="J948" s="32"/>
    </row>
    <row r="949" ht="16" customHeight="1">
      <c r="A949" t="s" s="26">
        <v>2242</v>
      </c>
      <c r="B949" t="s" s="27">
        <v>41</v>
      </c>
      <c r="C949" t="s" s="27">
        <v>423</v>
      </c>
      <c r="D949" t="s" s="27">
        <v>2243</v>
      </c>
      <c r="E949" t="s" s="27">
        <v>143</v>
      </c>
      <c r="F949" t="s" s="27">
        <v>2174</v>
      </c>
      <c r="G949" s="33"/>
      <c r="H949" s="34"/>
      <c r="I949" s="31"/>
      <c r="J949" s="32"/>
    </row>
    <row r="950" ht="16" customHeight="1">
      <c r="A950" t="s" s="26">
        <v>2244</v>
      </c>
      <c r="B950" t="s" s="27">
        <v>41</v>
      </c>
      <c r="C950" t="s" s="27">
        <v>57</v>
      </c>
      <c r="D950" t="s" s="27">
        <v>2245</v>
      </c>
      <c r="E950" t="s" s="27">
        <v>146</v>
      </c>
      <c r="F950" t="s" s="27">
        <v>2174</v>
      </c>
      <c r="G950" s="33"/>
      <c r="H950" s="34"/>
      <c r="I950" s="31"/>
      <c r="J950" s="32"/>
    </row>
    <row r="951" ht="16" customHeight="1">
      <c r="A951" t="s" s="26">
        <v>2246</v>
      </c>
      <c r="B951" t="s" s="27">
        <v>41</v>
      </c>
      <c r="C951" t="s" s="27">
        <v>423</v>
      </c>
      <c r="D951" t="s" s="27">
        <v>2247</v>
      </c>
      <c r="E951" t="s" s="27">
        <v>149</v>
      </c>
      <c r="F951" t="s" s="27">
        <v>2174</v>
      </c>
      <c r="G951" s="33"/>
      <c r="H951" s="34"/>
      <c r="I951" s="31"/>
      <c r="J951" s="32"/>
    </row>
    <row r="952" ht="16" customHeight="1">
      <c r="A952" t="s" s="26">
        <v>2248</v>
      </c>
      <c r="B952" t="s" s="27">
        <v>41</v>
      </c>
      <c r="C952" t="s" s="27">
        <v>838</v>
      </c>
      <c r="D952" t="s" s="27">
        <v>2249</v>
      </c>
      <c r="E952" t="s" s="27">
        <v>152</v>
      </c>
      <c r="F952" t="s" s="27">
        <v>2174</v>
      </c>
      <c r="G952" s="33"/>
      <c r="H952" s="34"/>
      <c r="I952" s="31"/>
      <c r="J952" s="32"/>
    </row>
    <row r="953" ht="16" customHeight="1">
      <c r="A953" t="s" s="26">
        <v>2250</v>
      </c>
      <c r="B953" t="s" s="27">
        <v>41</v>
      </c>
      <c r="C953" t="s" s="27">
        <v>838</v>
      </c>
      <c r="D953" t="s" s="27">
        <v>2251</v>
      </c>
      <c r="E953" t="s" s="27">
        <v>155</v>
      </c>
      <c r="F953" t="s" s="27">
        <v>2174</v>
      </c>
      <c r="G953" s="33"/>
      <c r="H953" s="34"/>
      <c r="I953" s="31"/>
      <c r="J953" s="32"/>
    </row>
    <row r="954" ht="16" customHeight="1">
      <c r="A954" t="s" s="26">
        <v>2252</v>
      </c>
      <c r="B954" t="s" s="27">
        <v>41</v>
      </c>
      <c r="C954" t="s" s="27">
        <v>838</v>
      </c>
      <c r="D954" t="s" s="27">
        <v>2253</v>
      </c>
      <c r="E954" t="s" s="27">
        <v>158</v>
      </c>
      <c r="F954" t="s" s="27">
        <v>2174</v>
      </c>
      <c r="G954" s="33"/>
      <c r="H954" s="34"/>
      <c r="I954" s="31"/>
      <c r="J954" s="32"/>
    </row>
    <row r="955" ht="16" customHeight="1">
      <c r="A955" t="s" s="26">
        <v>2254</v>
      </c>
      <c r="B955" t="s" s="27">
        <v>41</v>
      </c>
      <c r="C955" t="s" s="27">
        <v>42</v>
      </c>
      <c r="D955" t="s" s="27">
        <v>2255</v>
      </c>
      <c r="E955" t="s" s="27">
        <v>161</v>
      </c>
      <c r="F955" t="s" s="27">
        <v>2174</v>
      </c>
      <c r="G955" s="33"/>
      <c r="H955" s="34"/>
      <c r="I955" s="31"/>
      <c r="J955" s="32"/>
    </row>
    <row r="956" ht="16" customHeight="1">
      <c r="A956" t="s" s="26">
        <v>2256</v>
      </c>
      <c r="B956" t="s" s="27">
        <v>41</v>
      </c>
      <c r="C956" t="s" s="27">
        <v>42</v>
      </c>
      <c r="D956" t="s" s="27">
        <v>2257</v>
      </c>
      <c r="E956" t="s" s="27">
        <v>164</v>
      </c>
      <c r="F956" t="s" s="27">
        <v>2174</v>
      </c>
      <c r="G956" s="33"/>
      <c r="H956" s="34"/>
      <c r="I956" s="31"/>
      <c r="J956" s="32"/>
    </row>
    <row r="957" ht="16" customHeight="1">
      <c r="A957" t="s" s="26">
        <v>2258</v>
      </c>
      <c r="B957" t="s" s="27">
        <v>41</v>
      </c>
      <c r="C957" t="s" s="27">
        <v>42</v>
      </c>
      <c r="D957" t="s" s="27">
        <v>2259</v>
      </c>
      <c r="E957" t="s" s="27">
        <v>170</v>
      </c>
      <c r="F957" t="s" s="27">
        <v>2174</v>
      </c>
      <c r="G957" s="33"/>
      <c r="H957" s="34"/>
      <c r="I957" s="31"/>
      <c r="J957" s="32"/>
    </row>
    <row r="958" ht="16" customHeight="1">
      <c r="A958" t="s" s="26">
        <v>2260</v>
      </c>
      <c r="B958" t="s" s="27">
        <v>41</v>
      </c>
      <c r="C958" t="s" s="27">
        <v>838</v>
      </c>
      <c r="D958" t="s" s="27">
        <v>2261</v>
      </c>
      <c r="E958" t="s" s="27">
        <v>173</v>
      </c>
      <c r="F958" t="s" s="27">
        <v>2174</v>
      </c>
      <c r="G958" s="33"/>
      <c r="H958" s="34"/>
      <c r="I958" s="31"/>
      <c r="J958" s="32"/>
    </row>
    <row r="959" ht="16" customHeight="1">
      <c r="A959" t="s" s="26">
        <v>2262</v>
      </c>
      <c r="B959" t="s" s="27">
        <v>41</v>
      </c>
      <c r="C959" t="s" s="27">
        <v>838</v>
      </c>
      <c r="D959" t="s" s="27">
        <v>2263</v>
      </c>
      <c r="E959" t="s" s="27">
        <v>176</v>
      </c>
      <c r="F959" t="s" s="27">
        <v>2174</v>
      </c>
      <c r="G959" s="33"/>
      <c r="H959" s="34"/>
      <c r="I959" s="31"/>
      <c r="J959" s="32"/>
    </row>
    <row r="960" ht="24" customHeight="1">
      <c r="A960" t="s" s="26">
        <v>2264</v>
      </c>
      <c r="B960" t="s" s="27">
        <v>41</v>
      </c>
      <c r="C960" t="s" s="27">
        <v>42</v>
      </c>
      <c r="D960" t="s" s="27">
        <v>2265</v>
      </c>
      <c r="E960" t="s" s="27">
        <v>179</v>
      </c>
      <c r="F960" t="s" s="27">
        <v>2174</v>
      </c>
      <c r="G960" s="33"/>
      <c r="H960" s="34"/>
      <c r="I960" s="31"/>
      <c r="J960" s="32"/>
    </row>
    <row r="961" ht="16" customHeight="1">
      <c r="A961" t="s" s="26">
        <v>2266</v>
      </c>
      <c r="B961" t="s" s="27">
        <v>41</v>
      </c>
      <c r="C961" t="s" s="27">
        <v>423</v>
      </c>
      <c r="D961" t="s" s="27">
        <v>2267</v>
      </c>
      <c r="E961" t="s" s="27">
        <v>182</v>
      </c>
      <c r="F961" t="s" s="27">
        <v>2174</v>
      </c>
      <c r="G961" s="33"/>
      <c r="H961" s="34"/>
      <c r="I961" s="31"/>
      <c r="J961" s="32"/>
    </row>
    <row r="962" ht="16" customHeight="1">
      <c r="A962" t="s" s="26">
        <v>2268</v>
      </c>
      <c r="B962" t="s" s="27">
        <v>41</v>
      </c>
      <c r="C962" t="s" s="27">
        <v>838</v>
      </c>
      <c r="D962" t="s" s="27">
        <v>2269</v>
      </c>
      <c r="E962" t="s" s="27">
        <v>188</v>
      </c>
      <c r="F962" t="s" s="27">
        <v>2174</v>
      </c>
      <c r="G962" s="33"/>
      <c r="H962" s="34"/>
      <c r="I962" s="31"/>
      <c r="J962" s="32"/>
    </row>
    <row r="963" ht="16" customHeight="1">
      <c r="A963" t="s" s="26">
        <v>2270</v>
      </c>
      <c r="B963" t="s" s="27">
        <v>41</v>
      </c>
      <c r="C963" t="s" s="27">
        <v>838</v>
      </c>
      <c r="D963" t="s" s="27">
        <v>2271</v>
      </c>
      <c r="E963" t="s" s="27">
        <v>191</v>
      </c>
      <c r="F963" t="s" s="27">
        <v>2174</v>
      </c>
      <c r="G963" s="33"/>
      <c r="H963" s="34"/>
      <c r="I963" s="31"/>
      <c r="J963" s="32"/>
    </row>
    <row r="964" ht="16" customHeight="1">
      <c r="A964" t="s" s="26">
        <v>2272</v>
      </c>
      <c r="B964" t="s" s="27">
        <v>41</v>
      </c>
      <c r="C964" t="s" s="27">
        <v>42</v>
      </c>
      <c r="D964" t="s" s="27">
        <v>2273</v>
      </c>
      <c r="E964" t="s" s="27">
        <v>194</v>
      </c>
      <c r="F964" t="s" s="27">
        <v>2174</v>
      </c>
      <c r="G964" s="33"/>
      <c r="H964" s="34"/>
      <c r="I964" s="31"/>
      <c r="J964" s="32"/>
    </row>
    <row r="965" ht="16" customHeight="1">
      <c r="A965" t="s" s="26">
        <v>2274</v>
      </c>
      <c r="B965" t="s" s="27">
        <v>41</v>
      </c>
      <c r="C965" t="s" s="27">
        <v>42</v>
      </c>
      <c r="D965" t="s" s="27">
        <v>1818</v>
      </c>
      <c r="E965" t="s" s="27">
        <v>197</v>
      </c>
      <c r="F965" t="s" s="27">
        <v>2174</v>
      </c>
      <c r="G965" s="33"/>
      <c r="H965" t="s" s="40">
        <v>2275</v>
      </c>
      <c r="I965" s="30"/>
      <c r="J965" s="7"/>
    </row>
    <row r="966" ht="16" customHeight="1">
      <c r="A966" t="s" s="26">
        <v>2276</v>
      </c>
      <c r="B966" t="s" s="27">
        <v>41</v>
      </c>
      <c r="C966" t="s" s="27">
        <v>838</v>
      </c>
      <c r="D966" t="s" s="27">
        <v>2277</v>
      </c>
      <c r="E966" t="s" s="27">
        <v>200</v>
      </c>
      <c r="F966" t="s" s="27">
        <v>2174</v>
      </c>
      <c r="G966" s="33">
        <v>1</v>
      </c>
      <c r="H966" s="34"/>
      <c r="I966" s="30"/>
      <c r="J966" s="7"/>
    </row>
    <row r="967" ht="16" customHeight="1">
      <c r="A967" t="s" s="26">
        <v>2278</v>
      </c>
      <c r="B967" t="s" s="27">
        <v>41</v>
      </c>
      <c r="C967" t="s" s="27">
        <v>42</v>
      </c>
      <c r="D967" t="s" s="27">
        <v>2279</v>
      </c>
      <c r="E967" t="s" s="27">
        <v>203</v>
      </c>
      <c r="F967" t="s" s="27">
        <v>2174</v>
      </c>
      <c r="G967" s="33"/>
      <c r="H967" s="34"/>
      <c r="I967" s="30"/>
      <c r="J967" s="7"/>
    </row>
    <row r="968" ht="16" customHeight="1">
      <c r="A968" t="s" s="26">
        <v>2280</v>
      </c>
      <c r="B968" t="s" s="27">
        <v>41</v>
      </c>
      <c r="C968" t="s" s="27">
        <v>838</v>
      </c>
      <c r="D968" t="s" s="27">
        <v>2281</v>
      </c>
      <c r="E968" t="s" s="27">
        <v>206</v>
      </c>
      <c r="F968" t="s" s="27">
        <v>2174</v>
      </c>
      <c r="G968" s="33"/>
      <c r="H968" s="34"/>
      <c r="I968" s="30"/>
      <c r="J968" s="7"/>
    </row>
    <row r="969" ht="16" customHeight="1">
      <c r="A969" t="s" s="26">
        <v>2282</v>
      </c>
      <c r="B969" t="s" s="27">
        <v>41</v>
      </c>
      <c r="C969" t="s" s="27">
        <v>42</v>
      </c>
      <c r="D969" t="s" s="27">
        <v>2283</v>
      </c>
      <c r="E969" t="s" s="27">
        <v>209</v>
      </c>
      <c r="F969" t="s" s="27">
        <v>2174</v>
      </c>
      <c r="G969" s="33"/>
      <c r="H969" s="34"/>
      <c r="I969" s="30"/>
      <c r="J969" s="7"/>
    </row>
    <row r="970" ht="16" customHeight="1">
      <c r="A970" t="s" s="26">
        <v>2284</v>
      </c>
      <c r="B970" t="s" s="27">
        <v>41</v>
      </c>
      <c r="C970" t="s" s="27">
        <v>838</v>
      </c>
      <c r="D970" t="s" s="27">
        <v>2285</v>
      </c>
      <c r="E970" t="s" s="27">
        <v>212</v>
      </c>
      <c r="F970" t="s" s="27">
        <v>2174</v>
      </c>
      <c r="G970" s="33"/>
      <c r="H970" s="34"/>
      <c r="I970" s="30"/>
      <c r="J970" s="7"/>
    </row>
    <row r="971" ht="16" customHeight="1">
      <c r="A971" t="s" s="26">
        <v>2286</v>
      </c>
      <c r="B971" t="s" s="27">
        <v>41</v>
      </c>
      <c r="C971" t="s" s="27">
        <v>42</v>
      </c>
      <c r="D971" t="s" s="27">
        <v>2287</v>
      </c>
      <c r="E971" t="s" s="27">
        <v>215</v>
      </c>
      <c r="F971" t="s" s="27">
        <v>2174</v>
      </c>
      <c r="G971" s="33"/>
      <c r="H971" s="34"/>
      <c r="I971" s="30"/>
      <c r="J971" s="7"/>
    </row>
    <row r="972" ht="16" customHeight="1">
      <c r="A972" t="s" s="26">
        <v>2288</v>
      </c>
      <c r="B972" t="s" s="27">
        <v>41</v>
      </c>
      <c r="C972" t="s" s="27">
        <v>838</v>
      </c>
      <c r="D972" t="s" s="27">
        <v>2289</v>
      </c>
      <c r="E972" t="s" s="27">
        <v>218</v>
      </c>
      <c r="F972" t="s" s="27">
        <v>2174</v>
      </c>
      <c r="G972" s="33"/>
      <c r="H972" s="34"/>
      <c r="I972" s="30"/>
      <c r="J972" s="7"/>
    </row>
    <row r="973" ht="16" customHeight="1">
      <c r="A973" t="s" s="26">
        <v>2290</v>
      </c>
      <c r="B973" t="s" s="27">
        <v>41</v>
      </c>
      <c r="C973" t="s" s="27">
        <v>423</v>
      </c>
      <c r="D973" t="s" s="27">
        <v>2291</v>
      </c>
      <c r="E973" t="s" s="27">
        <v>221</v>
      </c>
      <c r="F973" t="s" s="27">
        <v>2174</v>
      </c>
      <c r="G973" s="33">
        <v>0</v>
      </c>
      <c r="H973" t="s" s="29">
        <v>291</v>
      </c>
      <c r="I973" s="30"/>
      <c r="J973" s="7"/>
    </row>
    <row r="974" ht="16" customHeight="1">
      <c r="A974" t="s" s="26">
        <v>2292</v>
      </c>
      <c r="B974" t="s" s="27">
        <v>41</v>
      </c>
      <c r="C974" t="s" s="27">
        <v>838</v>
      </c>
      <c r="D974" t="s" s="27">
        <v>2293</v>
      </c>
      <c r="E974" t="s" s="27">
        <v>224</v>
      </c>
      <c r="F974" t="s" s="27">
        <v>2174</v>
      </c>
      <c r="G974" s="33"/>
      <c r="H974" s="34"/>
      <c r="I974" s="30"/>
      <c r="J974" s="7"/>
    </row>
    <row r="975" ht="16" customHeight="1">
      <c r="A975" t="s" s="26">
        <v>2294</v>
      </c>
      <c r="B975" t="s" s="27">
        <v>41</v>
      </c>
      <c r="C975" t="s" s="27">
        <v>838</v>
      </c>
      <c r="D975" t="s" s="27">
        <v>2295</v>
      </c>
      <c r="E975" t="s" s="27">
        <v>227</v>
      </c>
      <c r="F975" t="s" s="27">
        <v>2174</v>
      </c>
      <c r="G975" s="33"/>
      <c r="H975" s="34"/>
      <c r="I975" s="30"/>
      <c r="J975" s="7"/>
    </row>
    <row r="976" ht="16" customHeight="1">
      <c r="A976" t="s" s="26">
        <v>2296</v>
      </c>
      <c r="B976" t="s" s="27">
        <v>41</v>
      </c>
      <c r="C976" t="s" s="27">
        <v>423</v>
      </c>
      <c r="D976" t="s" s="27">
        <v>2297</v>
      </c>
      <c r="E976" t="s" s="27">
        <v>230</v>
      </c>
      <c r="F976" t="s" s="27">
        <v>2174</v>
      </c>
      <c r="G976" s="33" cm="1">
        <f t="array" ref="G976">RAND()*6</f>
        <v>1.07901090735131</v>
      </c>
      <c r="H976" s="34"/>
      <c r="I976" s="30"/>
      <c r="J976" s="7"/>
    </row>
    <row r="977" ht="16" customHeight="1">
      <c r="A977" t="s" s="26">
        <v>2298</v>
      </c>
      <c r="B977" t="s" s="27">
        <v>41</v>
      </c>
      <c r="C977" t="s" s="27">
        <v>838</v>
      </c>
      <c r="D977" t="s" s="27">
        <v>2299</v>
      </c>
      <c r="E977" t="s" s="27">
        <v>233</v>
      </c>
      <c r="F977" t="s" s="27">
        <v>2174</v>
      </c>
      <c r="G977" s="33" cm="1">
        <f t="array" ref="G977">RAND()*6</f>
        <v>3.44936693655417</v>
      </c>
      <c r="H977" s="34"/>
      <c r="I977" s="30"/>
      <c r="J977" s="7"/>
    </row>
    <row r="978" ht="16" customHeight="1">
      <c r="A978" t="s" s="26">
        <v>2300</v>
      </c>
      <c r="B978" t="s" s="27">
        <v>41</v>
      </c>
      <c r="C978" t="s" s="27">
        <v>838</v>
      </c>
      <c r="D978" t="s" s="27">
        <v>2301</v>
      </c>
      <c r="E978" t="s" s="27">
        <v>236</v>
      </c>
      <c r="F978" t="s" s="27">
        <v>2174</v>
      </c>
      <c r="G978" t="s" s="28">
        <v>2302</v>
      </c>
      <c r="H978" t="s" s="40">
        <v>2303</v>
      </c>
      <c r="I978" s="30"/>
      <c r="J978" s="7"/>
    </row>
    <row r="979" ht="16" customHeight="1">
      <c r="A979" t="s" s="26">
        <v>2304</v>
      </c>
      <c r="B979" t="s" s="27">
        <v>41</v>
      </c>
      <c r="C979" t="s" s="27">
        <v>838</v>
      </c>
      <c r="D979" t="s" s="27">
        <v>2305</v>
      </c>
      <c r="E979" t="s" s="27">
        <v>242</v>
      </c>
      <c r="F979" t="s" s="27">
        <v>2174</v>
      </c>
      <c r="G979" s="33"/>
      <c r="H979" s="34"/>
      <c r="I979" s="30"/>
      <c r="J979" s="7"/>
    </row>
    <row r="980" ht="16" customHeight="1">
      <c r="A980" t="s" s="26">
        <v>2306</v>
      </c>
      <c r="B980" t="s" s="27">
        <v>41</v>
      </c>
      <c r="C980" t="s" s="27">
        <v>42</v>
      </c>
      <c r="D980" t="s" s="27">
        <v>2307</v>
      </c>
      <c r="E980" t="s" s="27">
        <v>245</v>
      </c>
      <c r="F980" t="s" s="27">
        <v>2174</v>
      </c>
      <c r="G980" s="33">
        <v>1</v>
      </c>
      <c r="H980" s="34"/>
      <c r="I980" s="30"/>
      <c r="J980" s="7"/>
    </row>
    <row r="981" ht="16" customHeight="1">
      <c r="A981" t="s" s="26">
        <v>2308</v>
      </c>
      <c r="B981" t="s" s="27">
        <v>41</v>
      </c>
      <c r="C981" t="s" s="27">
        <v>423</v>
      </c>
      <c r="D981" t="s" s="27">
        <v>2309</v>
      </c>
      <c r="E981" t="s" s="27">
        <v>248</v>
      </c>
      <c r="F981" t="s" s="27">
        <v>2174</v>
      </c>
      <c r="G981" s="33">
        <v>1</v>
      </c>
      <c r="H981" s="34"/>
      <c r="I981" s="30"/>
      <c r="J981" s="7"/>
    </row>
    <row r="982" ht="16" customHeight="1">
      <c r="A982" t="s" s="26">
        <v>2310</v>
      </c>
      <c r="B982" t="s" s="27">
        <v>41</v>
      </c>
      <c r="C982" t="s" s="27">
        <v>42</v>
      </c>
      <c r="D982" t="s" s="27">
        <v>2311</v>
      </c>
      <c r="E982" t="s" s="27">
        <v>1011</v>
      </c>
      <c r="F982" t="s" s="27">
        <v>2174</v>
      </c>
      <c r="G982" s="33"/>
      <c r="H982" s="34"/>
      <c r="I982" s="30"/>
      <c r="J982" s="7"/>
    </row>
    <row r="983" ht="16" customHeight="1">
      <c r="A983" t="s" s="26">
        <v>2312</v>
      </c>
      <c r="B983" t="s" s="27">
        <v>41</v>
      </c>
      <c r="C983" t="s" s="27">
        <v>838</v>
      </c>
      <c r="D983" t="s" s="27">
        <v>2313</v>
      </c>
      <c r="E983" t="s" s="27">
        <v>251</v>
      </c>
      <c r="F983" t="s" s="27">
        <v>2174</v>
      </c>
      <c r="G983" s="33"/>
      <c r="H983" s="34"/>
      <c r="I983" s="30"/>
      <c r="J983" s="7"/>
    </row>
    <row r="984" ht="16" customHeight="1">
      <c r="A984" t="s" s="26">
        <v>2314</v>
      </c>
      <c r="B984" t="s" s="27">
        <v>41</v>
      </c>
      <c r="C984" t="s" s="27">
        <v>42</v>
      </c>
      <c r="D984" t="s" s="27">
        <v>2315</v>
      </c>
      <c r="E984" t="s" s="27">
        <v>1016</v>
      </c>
      <c r="F984" t="s" s="27">
        <v>2174</v>
      </c>
      <c r="G984" s="33"/>
      <c r="H984" s="34"/>
      <c r="I984" s="30"/>
      <c r="J984" s="7"/>
    </row>
    <row r="985" ht="16" customHeight="1">
      <c r="A985" t="s" s="26">
        <v>2316</v>
      </c>
      <c r="B985" t="s" s="27">
        <v>41</v>
      </c>
      <c r="C985" t="s" s="27">
        <v>838</v>
      </c>
      <c r="D985" t="s" s="27">
        <v>2317</v>
      </c>
      <c r="E985" t="s" s="27">
        <v>254</v>
      </c>
      <c r="F985" t="s" s="27">
        <v>2174</v>
      </c>
      <c r="G985" s="33"/>
      <c r="H985" s="34"/>
      <c r="I985" s="30"/>
      <c r="J985" s="7"/>
    </row>
    <row r="986" ht="16" customHeight="1">
      <c r="A986" t="s" s="26">
        <v>2318</v>
      </c>
      <c r="B986" t="s" s="27">
        <v>41</v>
      </c>
      <c r="C986" s="35"/>
      <c r="D986" t="s" s="27">
        <v>2319</v>
      </c>
      <c r="E986" t="s" s="27">
        <v>257</v>
      </c>
      <c r="F986" t="s" s="27">
        <v>2174</v>
      </c>
      <c r="G986" s="33">
        <v>0</v>
      </c>
      <c r="H986" t="s" s="29">
        <v>291</v>
      </c>
      <c r="I986" s="30"/>
      <c r="J986" s="7"/>
    </row>
    <row r="987" ht="16" customHeight="1">
      <c r="A987" t="s" s="26">
        <v>2320</v>
      </c>
      <c r="B987" t="s" s="27">
        <v>41</v>
      </c>
      <c r="C987" t="s" s="27">
        <v>838</v>
      </c>
      <c r="D987" t="s" s="27">
        <v>2321</v>
      </c>
      <c r="E987" t="s" s="27">
        <v>260</v>
      </c>
      <c r="F987" t="s" s="27">
        <v>2174</v>
      </c>
      <c r="G987" s="33" cm="1">
        <f t="array" ref="G987">RAND()*6</f>
        <v>2.40886244351465</v>
      </c>
      <c r="H987" s="34"/>
      <c r="I987" s="30"/>
      <c r="J987" s="7"/>
    </row>
    <row r="988" ht="24" customHeight="1">
      <c r="A988" t="s" s="26">
        <v>2322</v>
      </c>
      <c r="B988" t="s" s="27">
        <v>41</v>
      </c>
      <c r="C988" t="s" s="27">
        <v>423</v>
      </c>
      <c r="D988" t="s" s="27">
        <v>2323</v>
      </c>
      <c r="E988" t="s" s="27">
        <v>263</v>
      </c>
      <c r="F988" t="s" s="27">
        <v>2174</v>
      </c>
      <c r="G988" t="s" s="28">
        <v>60</v>
      </c>
      <c r="H988" t="s" s="40">
        <v>2303</v>
      </c>
      <c r="I988" s="30"/>
      <c r="J988" s="7"/>
    </row>
    <row r="989" ht="16" customHeight="1">
      <c r="A989" t="s" s="26">
        <v>2324</v>
      </c>
      <c r="B989" t="s" s="27">
        <v>41</v>
      </c>
      <c r="C989" t="s" s="27">
        <v>42</v>
      </c>
      <c r="D989" t="s" s="27">
        <v>2325</v>
      </c>
      <c r="E989" t="s" s="27">
        <v>266</v>
      </c>
      <c r="F989" t="s" s="27">
        <v>2174</v>
      </c>
      <c r="G989" s="33">
        <v>6</v>
      </c>
      <c r="H989" t="s" s="29">
        <v>2326</v>
      </c>
      <c r="I989" s="30"/>
      <c r="J989" s="7"/>
    </row>
    <row r="990" ht="16" customHeight="1">
      <c r="A990" t="s" s="26">
        <v>2327</v>
      </c>
      <c r="B990" t="s" s="27">
        <v>41</v>
      </c>
      <c r="C990" t="s" s="27">
        <v>838</v>
      </c>
      <c r="D990" t="s" s="27">
        <v>2328</v>
      </c>
      <c r="E990" t="s" s="27">
        <v>269</v>
      </c>
      <c r="F990" t="s" s="27">
        <v>2174</v>
      </c>
      <c r="G990" s="33"/>
      <c r="H990" s="34"/>
      <c r="I990" s="30"/>
      <c r="J990" s="7"/>
    </row>
    <row r="991" ht="16" customHeight="1">
      <c r="A991" t="s" s="26">
        <v>2329</v>
      </c>
      <c r="B991" t="s" s="27">
        <v>41</v>
      </c>
      <c r="C991" t="s" s="27">
        <v>42</v>
      </c>
      <c r="D991" t="s" s="27">
        <v>2330</v>
      </c>
      <c r="E991" t="s" s="27">
        <v>272</v>
      </c>
      <c r="F991" t="s" s="27">
        <v>2174</v>
      </c>
      <c r="G991" s="33"/>
      <c r="H991" s="34"/>
      <c r="I991" s="30"/>
      <c r="J991" s="7"/>
    </row>
    <row r="992" ht="16" customHeight="1">
      <c r="A992" t="s" s="26">
        <v>2331</v>
      </c>
      <c r="B992" t="s" s="27">
        <v>41</v>
      </c>
      <c r="C992" t="s" s="27">
        <v>838</v>
      </c>
      <c r="D992" t="s" s="27">
        <v>2332</v>
      </c>
      <c r="E992" t="s" s="27">
        <v>275</v>
      </c>
      <c r="F992" t="s" s="27">
        <v>2174</v>
      </c>
      <c r="G992" s="33"/>
      <c r="H992" s="34"/>
      <c r="I992" s="30"/>
      <c r="J992" s="7"/>
    </row>
    <row r="993" ht="16" customHeight="1">
      <c r="A993" t="s" s="26">
        <v>2333</v>
      </c>
      <c r="B993" t="s" s="27">
        <v>41</v>
      </c>
      <c r="C993" t="s" s="27">
        <v>42</v>
      </c>
      <c r="D993" t="s" s="27">
        <v>2334</v>
      </c>
      <c r="E993" t="s" s="27">
        <v>278</v>
      </c>
      <c r="F993" t="s" s="27">
        <v>2174</v>
      </c>
      <c r="G993" s="33">
        <v>0</v>
      </c>
      <c r="H993" t="s" s="29">
        <v>291</v>
      </c>
      <c r="I993" s="30"/>
      <c r="J993" s="7"/>
    </row>
    <row r="994" ht="16" customHeight="1">
      <c r="A994" t="s" s="26">
        <v>2335</v>
      </c>
      <c r="B994" t="s" s="27">
        <v>41</v>
      </c>
      <c r="C994" t="s" s="27">
        <v>42</v>
      </c>
      <c r="D994" t="s" s="27">
        <v>2336</v>
      </c>
      <c r="E994" t="s" s="27">
        <v>281</v>
      </c>
      <c r="F994" t="s" s="27">
        <v>2174</v>
      </c>
      <c r="G994" s="33">
        <v>0</v>
      </c>
      <c r="H994" t="s" s="29">
        <v>291</v>
      </c>
      <c r="I994" s="30"/>
      <c r="J994" s="7"/>
    </row>
    <row r="995" ht="16" customHeight="1">
      <c r="A995" t="s" s="26">
        <v>2337</v>
      </c>
      <c r="B995" t="s" s="27">
        <v>41</v>
      </c>
      <c r="C995" t="s" s="27">
        <v>838</v>
      </c>
      <c r="D995" t="s" s="27">
        <v>2338</v>
      </c>
      <c r="E995" t="s" s="27">
        <v>287</v>
      </c>
      <c r="F995" t="s" s="27">
        <v>2174</v>
      </c>
      <c r="G995" s="33"/>
      <c r="H995" s="34"/>
      <c r="I995" s="30"/>
      <c r="J995" s="7"/>
    </row>
    <row r="996" ht="16" customHeight="1">
      <c r="A996" t="s" s="26">
        <v>2339</v>
      </c>
      <c r="B996" t="s" s="27">
        <v>41</v>
      </c>
      <c r="C996" t="s" s="27">
        <v>838</v>
      </c>
      <c r="D996" t="s" s="27">
        <v>2340</v>
      </c>
      <c r="E996" t="s" s="27">
        <v>290</v>
      </c>
      <c r="F996" t="s" s="27">
        <v>2174</v>
      </c>
      <c r="G996" s="33"/>
      <c r="H996" s="34"/>
      <c r="I996" s="30"/>
      <c r="J996" s="7"/>
    </row>
    <row r="997" ht="16" customHeight="1">
      <c r="A997" t="s" s="26">
        <v>2341</v>
      </c>
      <c r="B997" t="s" s="27">
        <v>41</v>
      </c>
      <c r="C997" t="s" s="27">
        <v>42</v>
      </c>
      <c r="D997" t="s" s="27">
        <v>2342</v>
      </c>
      <c r="E997" t="s" s="27">
        <v>294</v>
      </c>
      <c r="F997" t="s" s="27">
        <v>2174</v>
      </c>
      <c r="G997" s="33"/>
      <c r="H997" s="34"/>
      <c r="I997" s="30"/>
      <c r="J997" s="7"/>
    </row>
    <row r="998" ht="16" customHeight="1">
      <c r="A998" t="s" s="26">
        <v>2343</v>
      </c>
      <c r="B998" t="s" s="27">
        <v>41</v>
      </c>
      <c r="C998" t="s" s="27">
        <v>449</v>
      </c>
      <c r="D998" t="s" s="27">
        <v>2344</v>
      </c>
      <c r="E998" t="s" s="27">
        <v>297</v>
      </c>
      <c r="F998" t="s" s="27">
        <v>2174</v>
      </c>
      <c r="G998" s="33"/>
      <c r="H998" s="34"/>
      <c r="I998" s="30"/>
      <c r="J998" s="7"/>
    </row>
    <row r="999" ht="16" customHeight="1">
      <c r="A999" t="s" s="26">
        <v>2345</v>
      </c>
      <c r="B999" t="s" s="27">
        <v>41</v>
      </c>
      <c r="C999" t="s" s="27">
        <v>42</v>
      </c>
      <c r="D999" t="s" s="27">
        <v>2346</v>
      </c>
      <c r="E999" t="s" s="27">
        <v>300</v>
      </c>
      <c r="F999" t="s" s="27">
        <v>2174</v>
      </c>
      <c r="G999" s="33">
        <v>1</v>
      </c>
      <c r="H999" s="34"/>
      <c r="I999" s="30"/>
      <c r="J999" s="7"/>
    </row>
    <row r="1000" ht="16" customHeight="1">
      <c r="A1000" t="s" s="26">
        <v>2347</v>
      </c>
      <c r="B1000" t="s" s="27">
        <v>41</v>
      </c>
      <c r="C1000" t="s" s="27">
        <v>42</v>
      </c>
      <c r="D1000" t="s" s="27">
        <v>2348</v>
      </c>
      <c r="E1000" t="s" s="27">
        <v>303</v>
      </c>
      <c r="F1000" t="s" s="27">
        <v>2174</v>
      </c>
      <c r="G1000" s="33"/>
      <c r="H1000" s="34"/>
      <c r="I1000" s="30"/>
      <c r="J1000" s="7"/>
    </row>
    <row r="1001" ht="16" customHeight="1">
      <c r="A1001" t="s" s="26">
        <v>2341</v>
      </c>
      <c r="B1001" t="s" s="27">
        <v>41</v>
      </c>
      <c r="C1001" t="s" s="27">
        <v>838</v>
      </c>
      <c r="D1001" t="s" s="27">
        <v>2349</v>
      </c>
      <c r="E1001" t="s" s="27">
        <v>309</v>
      </c>
      <c r="F1001" t="s" s="27">
        <v>2174</v>
      </c>
      <c r="G1001" t="s" s="28">
        <v>2350</v>
      </c>
      <c r="H1001" t="s" s="29">
        <v>2351</v>
      </c>
      <c r="I1001" s="30"/>
      <c r="J1001" s="7"/>
    </row>
    <row r="1002" ht="16" customHeight="1">
      <c r="A1002" t="s" s="26">
        <v>2343</v>
      </c>
      <c r="B1002" t="s" s="27">
        <v>41</v>
      </c>
      <c r="C1002" t="s" s="27">
        <v>423</v>
      </c>
      <c r="D1002" t="s" s="27">
        <v>2352</v>
      </c>
      <c r="E1002" t="s" s="27">
        <v>312</v>
      </c>
      <c r="F1002" t="s" s="27">
        <v>2174</v>
      </c>
      <c r="G1002" s="33" cm="1">
        <f t="array" ref="G1002">RAND()*6</f>
        <v>0.78373621784317</v>
      </c>
      <c r="H1002" s="34"/>
      <c r="I1002" s="41"/>
      <c r="J1002" s="19"/>
    </row>
    <row r="1003" ht="16" customHeight="1">
      <c r="A1003" t="s" s="26">
        <v>2345</v>
      </c>
      <c r="B1003" t="s" s="27">
        <v>41</v>
      </c>
      <c r="C1003" t="s" s="27">
        <v>42</v>
      </c>
      <c r="D1003" t="s" s="27">
        <v>2353</v>
      </c>
      <c r="E1003" t="s" s="27">
        <v>315</v>
      </c>
      <c r="F1003" t="s" s="27">
        <v>2174</v>
      </c>
      <c r="G1003" s="33"/>
      <c r="H1003" s="34"/>
      <c r="I1003" s="42"/>
      <c r="J1003" s="43"/>
    </row>
    <row r="1004" ht="16" customHeight="1">
      <c r="A1004" t="s" s="26">
        <v>2347</v>
      </c>
      <c r="B1004" t="s" s="27">
        <v>41</v>
      </c>
      <c r="C1004" t="s" s="27">
        <v>838</v>
      </c>
      <c r="D1004" t="s" s="27">
        <v>2354</v>
      </c>
      <c r="E1004" t="s" s="27">
        <v>318</v>
      </c>
      <c r="F1004" t="s" s="27">
        <v>2174</v>
      </c>
      <c r="G1004" s="33"/>
      <c r="H1004" s="34"/>
      <c r="I1004" s="42"/>
      <c r="J1004" s="43"/>
    </row>
    <row r="1005" ht="16" customHeight="1">
      <c r="A1005" t="s" s="26">
        <v>2355</v>
      </c>
      <c r="B1005" t="s" s="27">
        <v>41</v>
      </c>
      <c r="C1005" t="s" s="27">
        <v>838</v>
      </c>
      <c r="D1005" t="s" s="27">
        <v>2356</v>
      </c>
      <c r="E1005" t="s" s="27">
        <v>321</v>
      </c>
      <c r="F1005" t="s" s="27">
        <v>2174</v>
      </c>
      <c r="G1005" s="33"/>
      <c r="H1005" s="34"/>
      <c r="I1005" s="42"/>
      <c r="J1005" s="43"/>
    </row>
    <row r="1006" ht="16" customHeight="1">
      <c r="A1006" t="s" s="26">
        <v>2357</v>
      </c>
      <c r="B1006" t="s" s="27">
        <v>41</v>
      </c>
      <c r="C1006" t="s" s="27">
        <v>42</v>
      </c>
      <c r="D1006" t="s" s="27">
        <v>2358</v>
      </c>
      <c r="E1006" t="s" s="27">
        <v>324</v>
      </c>
      <c r="F1006" t="s" s="27">
        <v>2174</v>
      </c>
      <c r="G1006" s="33"/>
      <c r="H1006" s="34"/>
      <c r="I1006" s="42"/>
      <c r="J1006" s="43"/>
    </row>
    <row r="1007" ht="16" customHeight="1">
      <c r="A1007" t="s" s="26">
        <v>2359</v>
      </c>
      <c r="B1007" t="s" s="27">
        <v>41</v>
      </c>
      <c r="C1007" t="s" s="27">
        <v>42</v>
      </c>
      <c r="D1007" t="s" s="27">
        <v>2360</v>
      </c>
      <c r="E1007" t="s" s="27">
        <v>330</v>
      </c>
      <c r="F1007" t="s" s="27">
        <v>2174</v>
      </c>
      <c r="G1007" s="33"/>
      <c r="H1007" s="34"/>
      <c r="I1007" s="42"/>
      <c r="J1007" s="43"/>
    </row>
    <row r="1008" ht="16" customHeight="1">
      <c r="A1008" t="s" s="26">
        <v>2361</v>
      </c>
      <c r="B1008" t="s" s="27">
        <v>41</v>
      </c>
      <c r="C1008" t="s" s="27">
        <v>838</v>
      </c>
      <c r="D1008" t="s" s="27">
        <v>2362</v>
      </c>
      <c r="E1008" t="s" s="27">
        <v>333</v>
      </c>
      <c r="F1008" t="s" s="27">
        <v>2174</v>
      </c>
      <c r="G1008" s="33"/>
      <c r="H1008" s="34"/>
      <c r="I1008" s="42"/>
      <c r="J1008" s="43"/>
    </row>
    <row r="1009" ht="16" customHeight="1">
      <c r="A1009" t="s" s="26">
        <v>2363</v>
      </c>
      <c r="B1009" t="s" s="27">
        <v>41</v>
      </c>
      <c r="C1009" t="s" s="27">
        <v>42</v>
      </c>
      <c r="D1009" t="s" s="27">
        <v>2364</v>
      </c>
      <c r="E1009" t="s" s="27">
        <v>336</v>
      </c>
      <c r="F1009" t="s" s="27">
        <v>2174</v>
      </c>
      <c r="G1009" s="33"/>
      <c r="H1009" s="34"/>
      <c r="I1009" s="42"/>
      <c r="J1009" s="43"/>
    </row>
    <row r="1010" ht="16" customHeight="1">
      <c r="A1010" t="s" s="26">
        <v>2365</v>
      </c>
      <c r="B1010" t="s" s="27">
        <v>41</v>
      </c>
      <c r="C1010" t="s" s="27">
        <v>423</v>
      </c>
      <c r="D1010" t="s" s="27">
        <v>2366</v>
      </c>
      <c r="E1010" t="s" s="27">
        <v>339</v>
      </c>
      <c r="F1010" t="s" s="27">
        <v>2174</v>
      </c>
      <c r="G1010" s="33"/>
      <c r="H1010" s="34"/>
      <c r="I1010" s="42"/>
      <c r="J1010" s="43"/>
    </row>
    <row r="1011" ht="16" customHeight="1">
      <c r="A1011" t="s" s="26">
        <v>2367</v>
      </c>
      <c r="B1011" t="s" s="27">
        <v>41</v>
      </c>
      <c r="C1011" t="s" s="27">
        <v>838</v>
      </c>
      <c r="D1011" t="s" s="27">
        <v>2368</v>
      </c>
      <c r="E1011" t="s" s="27">
        <v>342</v>
      </c>
      <c r="F1011" t="s" s="27">
        <v>2174</v>
      </c>
      <c r="G1011" s="33"/>
      <c r="H1011" s="34"/>
      <c r="I1011" s="42"/>
      <c r="J1011" s="43"/>
    </row>
    <row r="1012" ht="16" customHeight="1">
      <c r="A1012" t="s" s="26">
        <v>2369</v>
      </c>
      <c r="B1012" t="s" s="27">
        <v>41</v>
      </c>
      <c r="C1012" t="s" s="27">
        <v>42</v>
      </c>
      <c r="D1012" t="s" s="27">
        <v>2370</v>
      </c>
      <c r="E1012" t="s" s="27">
        <v>345</v>
      </c>
      <c r="F1012" t="s" s="27">
        <v>2174</v>
      </c>
      <c r="G1012" s="33"/>
      <c r="H1012" s="34"/>
      <c r="I1012" s="42"/>
      <c r="J1012" s="43"/>
    </row>
    <row r="1013" ht="16" customHeight="1">
      <c r="A1013" t="s" s="26">
        <v>2371</v>
      </c>
      <c r="B1013" t="s" s="27">
        <v>41</v>
      </c>
      <c r="C1013" t="s" s="27">
        <v>423</v>
      </c>
      <c r="D1013" t="s" s="27">
        <v>2372</v>
      </c>
      <c r="E1013" t="s" s="27">
        <v>348</v>
      </c>
      <c r="F1013" t="s" s="27">
        <v>2174</v>
      </c>
      <c r="G1013" s="33"/>
      <c r="H1013" s="34"/>
      <c r="I1013" s="42"/>
      <c r="J1013" s="43"/>
    </row>
    <row r="1014" ht="16" customHeight="1">
      <c r="A1014" t="s" s="26">
        <v>2373</v>
      </c>
      <c r="B1014" t="s" s="27">
        <v>41</v>
      </c>
      <c r="C1014" t="s" s="27">
        <v>838</v>
      </c>
      <c r="D1014" t="s" s="27">
        <v>2374</v>
      </c>
      <c r="E1014" t="s" s="27">
        <v>351</v>
      </c>
      <c r="F1014" t="s" s="27">
        <v>2174</v>
      </c>
      <c r="G1014" s="33"/>
      <c r="H1014" s="34"/>
      <c r="I1014" s="42"/>
      <c r="J1014" s="43"/>
    </row>
    <row r="1015" ht="16" customHeight="1">
      <c r="A1015" t="s" s="26">
        <v>2375</v>
      </c>
      <c r="B1015" t="s" s="27">
        <v>41</v>
      </c>
      <c r="C1015" t="s" s="27">
        <v>42</v>
      </c>
      <c r="D1015" t="s" s="27">
        <v>2376</v>
      </c>
      <c r="E1015" t="s" s="27">
        <v>354</v>
      </c>
      <c r="F1015" t="s" s="27">
        <v>2174</v>
      </c>
      <c r="G1015" s="33"/>
      <c r="H1015" s="34"/>
      <c r="I1015" s="42"/>
      <c r="J1015" s="43"/>
    </row>
    <row r="1016" ht="16" customHeight="1">
      <c r="A1016" t="s" s="26">
        <v>2377</v>
      </c>
      <c r="B1016" t="s" s="27">
        <v>41</v>
      </c>
      <c r="C1016" t="s" s="27">
        <v>42</v>
      </c>
      <c r="D1016" t="s" s="27">
        <v>2378</v>
      </c>
      <c r="E1016" t="s" s="27">
        <v>357</v>
      </c>
      <c r="F1016" t="s" s="27">
        <v>2174</v>
      </c>
      <c r="G1016" s="33"/>
      <c r="H1016" s="34"/>
      <c r="I1016" s="42"/>
      <c r="J1016" s="43"/>
    </row>
    <row r="1017" ht="16" customHeight="1">
      <c r="A1017" t="s" s="26">
        <v>2379</v>
      </c>
      <c r="B1017" t="s" s="27">
        <v>41</v>
      </c>
      <c r="C1017" t="s" s="27">
        <v>838</v>
      </c>
      <c r="D1017" t="s" s="27">
        <v>2380</v>
      </c>
      <c r="E1017" t="s" s="27">
        <v>360</v>
      </c>
      <c r="F1017" t="s" s="27">
        <v>2174</v>
      </c>
      <c r="G1017" s="33"/>
      <c r="H1017" s="34"/>
      <c r="I1017" s="42"/>
      <c r="J1017" s="43"/>
    </row>
    <row r="1018" ht="16" customHeight="1">
      <c r="A1018" t="s" s="26">
        <v>2381</v>
      </c>
      <c r="B1018" t="s" s="27">
        <v>41</v>
      </c>
      <c r="C1018" t="s" s="27">
        <v>838</v>
      </c>
      <c r="D1018" t="s" s="27">
        <v>2382</v>
      </c>
      <c r="E1018" t="s" s="27">
        <v>362</v>
      </c>
      <c r="F1018" t="s" s="27">
        <v>2174</v>
      </c>
      <c r="G1018" s="33"/>
      <c r="H1018" s="34"/>
      <c r="I1018" s="42"/>
      <c r="J1018" s="43"/>
    </row>
    <row r="1019" ht="16" customHeight="1">
      <c r="A1019" t="s" s="26">
        <v>2383</v>
      </c>
      <c r="B1019" t="s" s="27">
        <v>41</v>
      </c>
      <c r="C1019" t="s" s="27">
        <v>838</v>
      </c>
      <c r="D1019" t="s" s="27">
        <v>2384</v>
      </c>
      <c r="E1019" t="s" s="27">
        <v>365</v>
      </c>
      <c r="F1019" t="s" s="27">
        <v>2174</v>
      </c>
      <c r="G1019" s="33"/>
      <c r="H1019" s="34"/>
      <c r="I1019" s="42"/>
      <c r="J1019" s="43"/>
    </row>
    <row r="1020" ht="16" customHeight="1">
      <c r="A1020" t="s" s="26">
        <v>2385</v>
      </c>
      <c r="B1020" t="s" s="27">
        <v>41</v>
      </c>
      <c r="C1020" t="s" s="27">
        <v>838</v>
      </c>
      <c r="D1020" t="s" s="27">
        <v>2386</v>
      </c>
      <c r="E1020" t="s" s="27">
        <v>368</v>
      </c>
      <c r="F1020" t="s" s="27">
        <v>2174</v>
      </c>
      <c r="G1020" s="33"/>
      <c r="H1020" s="34"/>
      <c r="I1020" s="42"/>
      <c r="J1020" s="43"/>
    </row>
    <row r="1021" ht="16" customHeight="1">
      <c r="A1021" t="s" s="26">
        <v>2387</v>
      </c>
      <c r="B1021" t="s" s="27">
        <v>41</v>
      </c>
      <c r="C1021" t="s" s="27">
        <v>42</v>
      </c>
      <c r="D1021" t="s" s="27">
        <v>2388</v>
      </c>
      <c r="E1021" t="s" s="27">
        <v>371</v>
      </c>
      <c r="F1021" t="s" s="27">
        <v>2174</v>
      </c>
      <c r="G1021" s="33"/>
      <c r="H1021" s="34"/>
      <c r="I1021" s="42"/>
      <c r="J1021" s="43"/>
    </row>
    <row r="1022" ht="16" customHeight="1">
      <c r="A1022" t="s" s="26">
        <v>2389</v>
      </c>
      <c r="B1022" t="s" s="27">
        <v>41</v>
      </c>
      <c r="C1022" t="s" s="27">
        <v>42</v>
      </c>
      <c r="D1022" t="s" s="27">
        <v>2390</v>
      </c>
      <c r="E1022" t="s" s="27">
        <v>374</v>
      </c>
      <c r="F1022" t="s" s="27">
        <v>2174</v>
      </c>
      <c r="G1022" s="33"/>
      <c r="H1022" s="34"/>
      <c r="I1022" s="42"/>
      <c r="J1022" s="43"/>
    </row>
    <row r="1023" ht="16" customHeight="1">
      <c r="A1023" t="s" s="26">
        <v>2391</v>
      </c>
      <c r="B1023" t="s" s="27">
        <v>41</v>
      </c>
      <c r="C1023" t="s" s="27">
        <v>423</v>
      </c>
      <c r="D1023" t="s" s="27">
        <v>2392</v>
      </c>
      <c r="E1023" t="s" s="27">
        <v>380</v>
      </c>
      <c r="F1023" t="s" s="27">
        <v>2174</v>
      </c>
      <c r="G1023" s="33"/>
      <c r="H1023" s="34"/>
      <c r="I1023" s="42"/>
      <c r="J1023" s="43"/>
    </row>
    <row r="1024" ht="16" customHeight="1">
      <c r="A1024" t="s" s="26">
        <v>2393</v>
      </c>
      <c r="B1024" t="s" s="27">
        <v>41</v>
      </c>
      <c r="C1024" t="s" s="27">
        <v>838</v>
      </c>
      <c r="D1024" t="s" s="27">
        <v>2394</v>
      </c>
      <c r="E1024" t="s" s="27">
        <v>383</v>
      </c>
      <c r="F1024" t="s" s="27">
        <v>2174</v>
      </c>
      <c r="G1024" s="33"/>
      <c r="H1024" s="34"/>
      <c r="I1024" s="42"/>
      <c r="J1024" s="43"/>
    </row>
    <row r="1025" ht="16" customHeight="1">
      <c r="A1025" t="s" s="26">
        <v>2395</v>
      </c>
      <c r="B1025" t="s" s="27">
        <v>41</v>
      </c>
      <c r="C1025" t="s" s="27">
        <v>42</v>
      </c>
      <c r="D1025" t="s" s="27">
        <v>2396</v>
      </c>
      <c r="E1025" t="s" s="27">
        <v>386</v>
      </c>
      <c r="F1025" t="s" s="27">
        <v>2174</v>
      </c>
      <c r="G1025" s="33"/>
      <c r="H1025" s="34"/>
      <c r="I1025" s="42"/>
      <c r="J1025" s="43"/>
    </row>
    <row r="1026" ht="16" customHeight="1">
      <c r="A1026" t="s" s="26">
        <v>2397</v>
      </c>
      <c r="B1026" t="s" s="27">
        <v>41</v>
      </c>
      <c r="C1026" t="s" s="27">
        <v>449</v>
      </c>
      <c r="D1026" t="s" s="27">
        <v>2398</v>
      </c>
      <c r="E1026" t="s" s="27">
        <v>389</v>
      </c>
      <c r="F1026" t="s" s="27">
        <v>2174</v>
      </c>
      <c r="G1026" s="33"/>
      <c r="H1026" s="34"/>
      <c r="I1026" s="42"/>
      <c r="J1026" s="43"/>
    </row>
    <row r="1027" ht="16" customHeight="1">
      <c r="A1027" t="s" s="26">
        <v>2399</v>
      </c>
      <c r="B1027" t="s" s="27">
        <v>41</v>
      </c>
      <c r="C1027" t="s" s="27">
        <v>838</v>
      </c>
      <c r="D1027" t="s" s="27">
        <v>2400</v>
      </c>
      <c r="E1027" t="s" s="27">
        <v>392</v>
      </c>
      <c r="F1027" t="s" s="27">
        <v>2174</v>
      </c>
      <c r="G1027" s="33"/>
      <c r="H1027" s="34"/>
      <c r="I1027" s="42"/>
      <c r="J1027" s="43"/>
    </row>
    <row r="1028" ht="16" customHeight="1">
      <c r="A1028" t="s" s="26">
        <v>2401</v>
      </c>
      <c r="B1028" t="s" s="27">
        <v>41</v>
      </c>
      <c r="C1028" s="35"/>
      <c r="D1028" t="s" s="27">
        <v>2402</v>
      </c>
      <c r="E1028" t="s" s="27">
        <v>396</v>
      </c>
      <c r="F1028" t="s" s="27">
        <v>2174</v>
      </c>
      <c r="G1028" s="33"/>
      <c r="H1028" s="34"/>
      <c r="I1028" s="42"/>
      <c r="J1028" s="43"/>
    </row>
    <row r="1029" ht="16" customHeight="1">
      <c r="A1029" t="s" s="26">
        <v>2403</v>
      </c>
      <c r="B1029" t="s" s="27">
        <v>41</v>
      </c>
      <c r="C1029" t="s" s="27">
        <v>42</v>
      </c>
      <c r="D1029" t="s" s="27">
        <v>2404</v>
      </c>
      <c r="E1029" t="s" s="27">
        <v>399</v>
      </c>
      <c r="F1029" t="s" s="27">
        <v>2174</v>
      </c>
      <c r="G1029" s="33"/>
      <c r="H1029" s="34"/>
      <c r="I1029" s="42"/>
      <c r="J1029" s="43"/>
    </row>
    <row r="1030" ht="16" customHeight="1">
      <c r="A1030" t="s" s="26">
        <v>2405</v>
      </c>
      <c r="B1030" t="s" s="27">
        <v>41</v>
      </c>
      <c r="C1030" t="s" s="27">
        <v>838</v>
      </c>
      <c r="D1030" t="s" s="27">
        <v>2406</v>
      </c>
      <c r="E1030" t="s" s="27">
        <v>402</v>
      </c>
      <c r="F1030" t="s" s="27">
        <v>2174</v>
      </c>
      <c r="G1030" s="33"/>
      <c r="H1030" s="34"/>
      <c r="I1030" s="42"/>
      <c r="J1030" s="43"/>
    </row>
    <row r="1031" ht="16" customHeight="1">
      <c r="A1031" t="s" s="26">
        <v>2407</v>
      </c>
      <c r="B1031" t="s" s="27">
        <v>41</v>
      </c>
      <c r="C1031" t="s" s="27">
        <v>42</v>
      </c>
      <c r="D1031" t="s" s="27">
        <v>2408</v>
      </c>
      <c r="E1031" t="s" s="27">
        <v>406</v>
      </c>
      <c r="F1031" t="s" s="27">
        <v>2174</v>
      </c>
      <c r="G1031" s="33"/>
      <c r="H1031" s="34"/>
      <c r="I1031" s="42"/>
      <c r="J1031" s="43"/>
    </row>
    <row r="1032" ht="16" customHeight="1">
      <c r="A1032" t="s" s="26">
        <v>2409</v>
      </c>
      <c r="B1032" t="s" s="27">
        <v>41</v>
      </c>
      <c r="C1032" t="s" s="27">
        <v>42</v>
      </c>
      <c r="D1032" t="s" s="27">
        <v>2410</v>
      </c>
      <c r="E1032" t="s" s="27">
        <v>409</v>
      </c>
      <c r="F1032" t="s" s="27">
        <v>2174</v>
      </c>
      <c r="G1032" s="33"/>
      <c r="H1032" s="34"/>
      <c r="I1032" s="42"/>
      <c r="J1032" s="43"/>
    </row>
    <row r="1033" ht="16" customHeight="1">
      <c r="A1033" t="s" s="26">
        <v>2411</v>
      </c>
      <c r="B1033" t="s" s="27">
        <v>41</v>
      </c>
      <c r="C1033" t="s" s="27">
        <v>42</v>
      </c>
      <c r="D1033" t="s" s="27">
        <v>2412</v>
      </c>
      <c r="E1033" t="s" s="27">
        <v>412</v>
      </c>
      <c r="F1033" t="s" s="27">
        <v>2174</v>
      </c>
      <c r="G1033" s="33"/>
      <c r="H1033" s="34"/>
      <c r="I1033" s="42"/>
      <c r="J1033" s="43"/>
    </row>
    <row r="1034" ht="16" customHeight="1">
      <c r="A1034" t="s" s="26">
        <v>2413</v>
      </c>
      <c r="B1034" t="s" s="27">
        <v>41</v>
      </c>
      <c r="C1034" t="s" s="27">
        <v>42</v>
      </c>
      <c r="D1034" t="s" s="27">
        <v>2414</v>
      </c>
      <c r="E1034" t="s" s="27">
        <v>418</v>
      </c>
      <c r="F1034" t="s" s="27">
        <v>2174</v>
      </c>
      <c r="G1034" s="33"/>
      <c r="H1034" s="34"/>
      <c r="I1034" s="42"/>
      <c r="J1034" s="43"/>
    </row>
    <row r="1035" ht="16" customHeight="1">
      <c r="A1035" t="s" s="26">
        <v>2415</v>
      </c>
      <c r="B1035" t="s" s="27">
        <v>41</v>
      </c>
      <c r="C1035" t="s" s="27">
        <v>42</v>
      </c>
      <c r="D1035" t="s" s="27">
        <v>2416</v>
      </c>
      <c r="E1035" t="s" s="27">
        <v>1141</v>
      </c>
      <c r="F1035" t="s" s="27">
        <v>2174</v>
      </c>
      <c r="G1035" s="33"/>
      <c r="H1035" s="34"/>
      <c r="I1035" s="42"/>
      <c r="J1035" s="43"/>
    </row>
    <row r="1036" ht="16" customHeight="1">
      <c r="A1036" t="s" s="26">
        <v>2417</v>
      </c>
      <c r="B1036" t="s" s="27">
        <v>41</v>
      </c>
      <c r="C1036" t="s" s="27">
        <v>42</v>
      </c>
      <c r="D1036" t="s" s="27">
        <v>2418</v>
      </c>
      <c r="E1036" t="s" s="27">
        <v>421</v>
      </c>
      <c r="F1036" t="s" s="27">
        <v>2174</v>
      </c>
      <c r="G1036" s="33"/>
      <c r="H1036" s="34"/>
      <c r="I1036" s="42"/>
      <c r="J1036" s="43"/>
    </row>
    <row r="1037" ht="16" customHeight="1">
      <c r="A1037" t="s" s="26">
        <v>2419</v>
      </c>
      <c r="B1037" t="s" s="27">
        <v>41</v>
      </c>
      <c r="C1037" t="s" s="27">
        <v>42</v>
      </c>
      <c r="D1037" t="s" s="27">
        <v>2420</v>
      </c>
      <c r="E1037" t="s" s="27">
        <v>425</v>
      </c>
      <c r="F1037" t="s" s="27">
        <v>2174</v>
      </c>
      <c r="G1037" s="33"/>
      <c r="H1037" s="34"/>
      <c r="I1037" s="42"/>
      <c r="J1037" s="43"/>
    </row>
    <row r="1038" ht="16" customHeight="1">
      <c r="A1038" t="s" s="26">
        <v>2421</v>
      </c>
      <c r="B1038" t="s" s="27">
        <v>41</v>
      </c>
      <c r="C1038" t="s" s="27">
        <v>423</v>
      </c>
      <c r="D1038" t="s" s="27">
        <v>2422</v>
      </c>
      <c r="E1038" t="s" s="27">
        <v>428</v>
      </c>
      <c r="F1038" t="s" s="27">
        <v>2174</v>
      </c>
      <c r="G1038" s="33"/>
      <c r="H1038" s="34"/>
      <c r="I1038" s="42"/>
      <c r="J1038" s="43"/>
    </row>
    <row r="1039" ht="16" customHeight="1">
      <c r="A1039" t="s" s="26">
        <v>2423</v>
      </c>
      <c r="B1039" t="s" s="27">
        <v>41</v>
      </c>
      <c r="C1039" t="s" s="27">
        <v>838</v>
      </c>
      <c r="D1039" t="s" s="27">
        <v>2424</v>
      </c>
      <c r="E1039" t="s" s="27">
        <v>431</v>
      </c>
      <c r="F1039" t="s" s="27">
        <v>2174</v>
      </c>
      <c r="G1039" s="33"/>
      <c r="H1039" s="34"/>
      <c r="I1039" s="42"/>
      <c r="J1039" s="43"/>
    </row>
    <row r="1040" ht="16" customHeight="1">
      <c r="A1040" t="s" s="26">
        <v>2425</v>
      </c>
      <c r="B1040" t="s" s="27">
        <v>41</v>
      </c>
      <c r="C1040" t="s" s="27">
        <v>42</v>
      </c>
      <c r="D1040" t="s" s="27">
        <v>2426</v>
      </c>
      <c r="E1040" t="s" s="27">
        <v>435</v>
      </c>
      <c r="F1040" t="s" s="27">
        <v>2174</v>
      </c>
      <c r="G1040" s="33"/>
      <c r="H1040" s="34"/>
      <c r="I1040" s="42"/>
      <c r="J1040" s="43"/>
    </row>
    <row r="1041" ht="16" customHeight="1">
      <c r="A1041" t="s" s="26">
        <v>2427</v>
      </c>
      <c r="B1041" t="s" s="27">
        <v>41</v>
      </c>
      <c r="C1041" t="s" s="27">
        <v>838</v>
      </c>
      <c r="D1041" t="s" s="27">
        <v>2428</v>
      </c>
      <c r="E1041" t="s" s="27">
        <v>441</v>
      </c>
      <c r="F1041" t="s" s="27">
        <v>2174</v>
      </c>
      <c r="G1041" s="33"/>
      <c r="H1041" s="34"/>
      <c r="I1041" s="42"/>
      <c r="J1041" s="43"/>
    </row>
    <row r="1042" ht="16" customHeight="1">
      <c r="A1042" t="s" s="26">
        <v>2429</v>
      </c>
      <c r="B1042" t="s" s="27">
        <v>41</v>
      </c>
      <c r="C1042" t="s" s="27">
        <v>449</v>
      </c>
      <c r="D1042" t="s" s="27">
        <v>2430</v>
      </c>
      <c r="E1042" t="s" s="27">
        <v>444</v>
      </c>
      <c r="F1042" t="s" s="27">
        <v>2174</v>
      </c>
      <c r="G1042" s="33"/>
      <c r="H1042" s="34"/>
      <c r="I1042" s="42"/>
      <c r="J1042" s="43"/>
    </row>
    <row r="1043" ht="16" customHeight="1">
      <c r="A1043" t="s" s="26">
        <v>2431</v>
      </c>
      <c r="B1043" t="s" s="27">
        <v>41</v>
      </c>
      <c r="C1043" t="s" s="27">
        <v>42</v>
      </c>
      <c r="D1043" t="s" s="27">
        <v>2432</v>
      </c>
      <c r="E1043" t="s" s="27">
        <v>447</v>
      </c>
      <c r="F1043" t="s" s="27">
        <v>2174</v>
      </c>
      <c r="G1043" s="33"/>
      <c r="H1043" s="34"/>
      <c r="I1043" s="42"/>
      <c r="J1043" s="43"/>
    </row>
    <row r="1044" ht="16" customHeight="1">
      <c r="A1044" t="s" s="26">
        <v>2433</v>
      </c>
      <c r="B1044" t="s" s="27">
        <v>41</v>
      </c>
      <c r="C1044" t="s" s="27">
        <v>42</v>
      </c>
      <c r="D1044" t="s" s="27">
        <v>2434</v>
      </c>
      <c r="E1044" t="s" s="27">
        <v>451</v>
      </c>
      <c r="F1044" t="s" s="27">
        <v>2174</v>
      </c>
      <c r="G1044" s="33"/>
      <c r="H1044" s="34"/>
      <c r="I1044" s="42"/>
      <c r="J1044" s="43"/>
    </row>
    <row r="1045" ht="16" customHeight="1">
      <c r="A1045" t="s" s="26">
        <v>2435</v>
      </c>
      <c r="B1045" t="s" s="27">
        <v>41</v>
      </c>
      <c r="C1045" t="s" s="27">
        <v>42</v>
      </c>
      <c r="D1045" t="s" s="27">
        <v>2436</v>
      </c>
      <c r="E1045" t="s" s="27">
        <v>454</v>
      </c>
      <c r="F1045" t="s" s="27">
        <v>2174</v>
      </c>
      <c r="G1045" s="33"/>
      <c r="H1045" s="34"/>
      <c r="I1045" s="42"/>
      <c r="J1045" s="43"/>
    </row>
    <row r="1046" ht="16" customHeight="1">
      <c r="A1046" t="s" s="26">
        <v>2437</v>
      </c>
      <c r="B1046" t="s" s="27">
        <v>41</v>
      </c>
      <c r="C1046" t="s" s="27">
        <v>42</v>
      </c>
      <c r="D1046" t="s" s="27">
        <v>2438</v>
      </c>
      <c r="E1046" t="s" s="27">
        <v>457</v>
      </c>
      <c r="F1046" t="s" s="27">
        <v>2174</v>
      </c>
      <c r="G1046" s="33"/>
      <c r="H1046" s="34"/>
      <c r="I1046" s="42"/>
      <c r="J1046" s="43"/>
    </row>
    <row r="1047" ht="16" customHeight="1">
      <c r="A1047" t="s" s="26">
        <v>2439</v>
      </c>
      <c r="B1047" t="s" s="27">
        <v>41</v>
      </c>
      <c r="C1047" t="s" s="27">
        <v>42</v>
      </c>
      <c r="D1047" t="s" s="27">
        <v>2440</v>
      </c>
      <c r="E1047" t="s" s="27">
        <v>1170</v>
      </c>
      <c r="F1047" t="s" s="27">
        <v>2174</v>
      </c>
      <c r="G1047" s="33"/>
      <c r="H1047" s="34"/>
      <c r="I1047" s="42"/>
      <c r="J1047" s="43"/>
    </row>
    <row r="1048" ht="16" customHeight="1">
      <c r="A1048" t="s" s="26">
        <v>2441</v>
      </c>
      <c r="B1048" t="s" s="27">
        <v>41</v>
      </c>
      <c r="C1048" t="s" s="27">
        <v>838</v>
      </c>
      <c r="D1048" t="s" s="27">
        <v>2442</v>
      </c>
      <c r="E1048" t="s" s="27">
        <v>460</v>
      </c>
      <c r="F1048" t="s" s="27">
        <v>2174</v>
      </c>
      <c r="G1048" s="33"/>
      <c r="H1048" s="34"/>
      <c r="I1048" s="42"/>
      <c r="J1048" s="43"/>
    </row>
    <row r="1049" ht="16" customHeight="1">
      <c r="A1049" t="s" s="26">
        <v>2443</v>
      </c>
      <c r="B1049" t="s" s="27">
        <v>41</v>
      </c>
      <c r="C1049" t="s" s="27">
        <v>42</v>
      </c>
      <c r="D1049" t="s" s="27">
        <v>2444</v>
      </c>
      <c r="E1049" t="s" s="27">
        <v>463</v>
      </c>
      <c r="F1049" t="s" s="27">
        <v>2174</v>
      </c>
      <c r="G1049" s="33"/>
      <c r="H1049" s="34"/>
      <c r="I1049" s="42"/>
      <c r="J1049" s="43"/>
    </row>
    <row r="1050" ht="16" customHeight="1">
      <c r="A1050" t="s" s="26">
        <v>2445</v>
      </c>
      <c r="B1050" t="s" s="27">
        <v>41</v>
      </c>
      <c r="C1050" t="s" s="27">
        <v>42</v>
      </c>
      <c r="D1050" t="s" s="27">
        <v>2446</v>
      </c>
      <c r="E1050" t="s" s="27">
        <v>466</v>
      </c>
      <c r="F1050" t="s" s="27">
        <v>2174</v>
      </c>
      <c r="G1050" s="33"/>
      <c r="H1050" s="34"/>
      <c r="I1050" s="42"/>
      <c r="J1050" s="43"/>
    </row>
    <row r="1051" ht="16" customHeight="1">
      <c r="A1051" t="s" s="26">
        <v>2447</v>
      </c>
      <c r="B1051" t="s" s="27">
        <v>41</v>
      </c>
      <c r="C1051" t="s" s="27">
        <v>42</v>
      </c>
      <c r="D1051" t="s" s="27">
        <v>2448</v>
      </c>
      <c r="E1051" t="s" s="27">
        <v>469</v>
      </c>
      <c r="F1051" t="s" s="27">
        <v>2174</v>
      </c>
      <c r="G1051" s="33"/>
      <c r="H1051" s="34"/>
      <c r="I1051" s="42"/>
      <c r="J1051" s="43"/>
    </row>
    <row r="1052" ht="16" customHeight="1">
      <c r="A1052" t="s" s="26">
        <v>2449</v>
      </c>
      <c r="B1052" t="s" s="27">
        <v>41</v>
      </c>
      <c r="C1052" t="s" s="27">
        <v>838</v>
      </c>
      <c r="D1052" t="s" s="27">
        <v>2450</v>
      </c>
      <c r="E1052" t="s" s="27">
        <v>487</v>
      </c>
      <c r="F1052" t="s" s="27">
        <v>2174</v>
      </c>
      <c r="G1052" s="33"/>
      <c r="H1052" s="34"/>
      <c r="I1052" s="42"/>
      <c r="J1052" s="43"/>
    </row>
    <row r="1053" ht="16" customHeight="1">
      <c r="A1053" t="s" s="26">
        <v>2451</v>
      </c>
      <c r="B1053" t="s" s="27">
        <v>41</v>
      </c>
      <c r="C1053" t="s" s="27">
        <v>42</v>
      </c>
      <c r="D1053" t="s" s="27">
        <v>2452</v>
      </c>
      <c r="E1053" t="s" s="27">
        <v>490</v>
      </c>
      <c r="F1053" t="s" s="27">
        <v>2174</v>
      </c>
      <c r="G1053" s="33"/>
      <c r="H1053" s="34"/>
      <c r="I1053" s="42"/>
      <c r="J1053" s="43"/>
    </row>
    <row r="1054" ht="16" customHeight="1">
      <c r="A1054" t="s" s="26">
        <v>2453</v>
      </c>
      <c r="B1054" t="s" s="27">
        <v>41</v>
      </c>
      <c r="C1054" s="35"/>
      <c r="D1054" t="s" s="27">
        <v>2454</v>
      </c>
      <c r="E1054" t="s" s="27">
        <v>493</v>
      </c>
      <c r="F1054" t="s" s="27">
        <v>2174</v>
      </c>
      <c r="G1054" s="33"/>
      <c r="H1054" s="34"/>
      <c r="I1054" s="42"/>
      <c r="J1054" s="43"/>
    </row>
    <row r="1055" ht="16" customHeight="1">
      <c r="A1055" t="s" s="26">
        <v>2455</v>
      </c>
      <c r="B1055" t="s" s="27">
        <v>41</v>
      </c>
      <c r="C1055" t="s" s="27">
        <v>42</v>
      </c>
      <c r="D1055" t="s" s="27">
        <v>2456</v>
      </c>
      <c r="E1055" t="s" s="27">
        <v>496</v>
      </c>
      <c r="F1055" t="s" s="27">
        <v>2174</v>
      </c>
      <c r="G1055" s="33"/>
      <c r="H1055" s="34"/>
      <c r="I1055" s="42"/>
      <c r="J1055" s="43"/>
    </row>
    <row r="1056" ht="16" customHeight="1">
      <c r="A1056" t="s" s="26">
        <v>2457</v>
      </c>
      <c r="B1056" t="s" s="27">
        <v>41</v>
      </c>
      <c r="C1056" t="s" s="27">
        <v>838</v>
      </c>
      <c r="D1056" t="s" s="27">
        <v>2458</v>
      </c>
      <c r="E1056" t="s" s="27">
        <v>499</v>
      </c>
      <c r="F1056" t="s" s="27">
        <v>2174</v>
      </c>
      <c r="G1056" s="33"/>
      <c r="H1056" s="34"/>
      <c r="I1056" s="42"/>
      <c r="J1056" s="43"/>
    </row>
    <row r="1057" ht="16" customHeight="1">
      <c r="A1057" t="s" s="26">
        <v>2459</v>
      </c>
      <c r="B1057" t="s" s="27">
        <v>41</v>
      </c>
      <c r="C1057" t="s" s="27">
        <v>838</v>
      </c>
      <c r="D1057" t="s" s="27">
        <v>2460</v>
      </c>
      <c r="E1057" t="s" s="27">
        <v>502</v>
      </c>
      <c r="F1057" t="s" s="27">
        <v>2174</v>
      </c>
      <c r="G1057" s="33"/>
      <c r="H1057" s="34"/>
      <c r="I1057" s="42"/>
      <c r="J1057" s="43"/>
    </row>
    <row r="1058" ht="16" customHeight="1">
      <c r="A1058" t="s" s="26">
        <v>2461</v>
      </c>
      <c r="B1058" t="s" s="27">
        <v>41</v>
      </c>
      <c r="C1058" t="s" s="27">
        <v>423</v>
      </c>
      <c r="D1058" t="s" s="27">
        <v>2462</v>
      </c>
      <c r="E1058" t="s" s="27">
        <v>508</v>
      </c>
      <c r="F1058" t="s" s="27">
        <v>2174</v>
      </c>
      <c r="G1058" s="33"/>
      <c r="H1058" s="34"/>
      <c r="I1058" s="42"/>
      <c r="J1058" s="43"/>
    </row>
    <row r="1059" ht="16" customHeight="1">
      <c r="A1059" t="s" s="26">
        <v>2463</v>
      </c>
      <c r="B1059" t="s" s="27">
        <v>41</v>
      </c>
      <c r="C1059" t="s" s="27">
        <v>423</v>
      </c>
      <c r="D1059" t="s" s="27">
        <v>2464</v>
      </c>
      <c r="E1059" t="s" s="27">
        <v>511</v>
      </c>
      <c r="F1059" t="s" s="27">
        <v>2174</v>
      </c>
      <c r="G1059" s="33"/>
      <c r="H1059" s="34"/>
      <c r="I1059" s="42"/>
      <c r="J1059" s="43"/>
    </row>
    <row r="1060" ht="16" customHeight="1">
      <c r="A1060" t="s" s="26">
        <v>2465</v>
      </c>
      <c r="B1060" t="s" s="27">
        <v>41</v>
      </c>
      <c r="C1060" t="s" s="27">
        <v>423</v>
      </c>
      <c r="D1060" t="s" s="27">
        <v>2466</v>
      </c>
      <c r="E1060" t="s" s="27">
        <v>523</v>
      </c>
      <c r="F1060" t="s" s="27">
        <v>2174</v>
      </c>
      <c r="G1060" s="33"/>
      <c r="H1060" s="34"/>
      <c r="I1060" s="42"/>
      <c r="J1060" s="43"/>
    </row>
    <row r="1061" ht="16" customHeight="1">
      <c r="A1061" t="s" s="26">
        <v>2467</v>
      </c>
      <c r="B1061" t="s" s="27">
        <v>41</v>
      </c>
      <c r="C1061" t="s" s="27">
        <v>838</v>
      </c>
      <c r="D1061" t="s" s="27">
        <v>2468</v>
      </c>
      <c r="E1061" t="s" s="27">
        <v>527</v>
      </c>
      <c r="F1061" t="s" s="27">
        <v>2174</v>
      </c>
      <c r="G1061" s="33"/>
      <c r="H1061" s="34"/>
      <c r="I1061" s="42"/>
      <c r="J1061" s="43"/>
    </row>
    <row r="1062" ht="16" customHeight="1">
      <c r="A1062" t="s" s="26">
        <v>2469</v>
      </c>
      <c r="B1062" t="s" s="27">
        <v>41</v>
      </c>
      <c r="C1062" t="s" s="27">
        <v>42</v>
      </c>
      <c r="D1062" t="s" s="27">
        <v>2470</v>
      </c>
      <c r="E1062" t="s" s="27">
        <v>530</v>
      </c>
      <c r="F1062" t="s" s="27">
        <v>2174</v>
      </c>
      <c r="G1062" s="33"/>
      <c r="H1062" s="34"/>
      <c r="I1062" s="42"/>
      <c r="J1062" s="43"/>
    </row>
    <row r="1063" ht="16" customHeight="1">
      <c r="A1063" t="s" s="26">
        <v>2471</v>
      </c>
      <c r="B1063" t="s" s="27">
        <v>41</v>
      </c>
      <c r="C1063" t="s" s="27">
        <v>42</v>
      </c>
      <c r="D1063" t="s" s="27">
        <v>2472</v>
      </c>
      <c r="E1063" t="s" s="27">
        <v>533</v>
      </c>
      <c r="F1063" t="s" s="27">
        <v>2174</v>
      </c>
      <c r="G1063" s="33"/>
      <c r="H1063" s="34"/>
      <c r="I1063" s="42"/>
      <c r="J1063" s="43"/>
    </row>
    <row r="1064" ht="16" customHeight="1">
      <c r="A1064" t="s" s="26">
        <v>2473</v>
      </c>
      <c r="B1064" t="s" s="27">
        <v>41</v>
      </c>
      <c r="C1064" t="s" s="27">
        <v>423</v>
      </c>
      <c r="D1064" t="s" s="27">
        <v>2474</v>
      </c>
      <c r="E1064" t="s" s="27">
        <v>536</v>
      </c>
      <c r="F1064" t="s" s="27">
        <v>2174</v>
      </c>
      <c r="G1064" s="33"/>
      <c r="H1064" s="34"/>
      <c r="I1064" s="42"/>
      <c r="J1064" s="43"/>
    </row>
    <row r="1065" ht="16" customHeight="1">
      <c r="A1065" t="s" s="26">
        <v>2475</v>
      </c>
      <c r="B1065" t="s" s="27">
        <v>41</v>
      </c>
      <c r="C1065" t="s" s="27">
        <v>838</v>
      </c>
      <c r="D1065" t="s" s="27">
        <v>2476</v>
      </c>
      <c r="E1065" t="s" s="27">
        <v>539</v>
      </c>
      <c r="F1065" t="s" s="27">
        <v>2174</v>
      </c>
      <c r="G1065" s="33"/>
      <c r="H1065" s="34"/>
      <c r="I1065" s="42"/>
      <c r="J1065" s="43"/>
    </row>
    <row r="1066" ht="16" customHeight="1">
      <c r="A1066" t="s" s="26">
        <v>2477</v>
      </c>
      <c r="B1066" t="s" s="27">
        <v>41</v>
      </c>
      <c r="C1066" t="s" s="27">
        <v>42</v>
      </c>
      <c r="D1066" t="s" s="27">
        <v>2478</v>
      </c>
      <c r="E1066" t="s" s="27">
        <v>1240</v>
      </c>
      <c r="F1066" t="s" s="27">
        <v>2174</v>
      </c>
      <c r="G1066" s="33"/>
      <c r="H1066" s="34"/>
      <c r="I1066" s="42"/>
      <c r="J1066" s="43"/>
    </row>
    <row r="1067" ht="16" customHeight="1">
      <c r="A1067" t="s" s="26">
        <v>2479</v>
      </c>
      <c r="B1067" t="s" s="27">
        <v>41</v>
      </c>
      <c r="C1067" t="s" s="27">
        <v>42</v>
      </c>
      <c r="D1067" t="s" s="27">
        <v>2480</v>
      </c>
      <c r="E1067" t="s" s="27">
        <v>542</v>
      </c>
      <c r="F1067" t="s" s="27">
        <v>2174</v>
      </c>
      <c r="G1067" s="33"/>
      <c r="H1067" s="34"/>
      <c r="I1067" s="42"/>
      <c r="J1067" s="43"/>
    </row>
    <row r="1068" ht="16" customHeight="1">
      <c r="A1068" t="s" s="26">
        <v>2481</v>
      </c>
      <c r="B1068" t="s" s="27">
        <v>41</v>
      </c>
      <c r="C1068" t="s" s="27">
        <v>423</v>
      </c>
      <c r="D1068" t="s" s="27">
        <v>2482</v>
      </c>
      <c r="E1068" t="s" s="27">
        <v>1245</v>
      </c>
      <c r="F1068" t="s" s="27">
        <v>2174</v>
      </c>
      <c r="G1068" s="33"/>
      <c r="H1068" s="34"/>
      <c r="I1068" s="42"/>
      <c r="J1068" s="43"/>
    </row>
    <row r="1069" ht="16" customHeight="1">
      <c r="A1069" t="s" s="26">
        <v>2483</v>
      </c>
      <c r="B1069" t="s" s="27">
        <v>41</v>
      </c>
      <c r="C1069" t="s" s="27">
        <v>42</v>
      </c>
      <c r="D1069" t="s" s="27">
        <v>2484</v>
      </c>
      <c r="E1069" t="s" s="27">
        <v>545</v>
      </c>
      <c r="F1069" t="s" s="27">
        <v>2174</v>
      </c>
      <c r="G1069" s="33"/>
      <c r="H1069" s="34"/>
      <c r="I1069" s="42"/>
      <c r="J1069" s="43"/>
    </row>
    <row r="1070" ht="16" customHeight="1">
      <c r="A1070" t="s" s="26">
        <v>2485</v>
      </c>
      <c r="B1070" t="s" s="27">
        <v>41</v>
      </c>
      <c r="C1070" t="s" s="27">
        <v>42</v>
      </c>
      <c r="D1070" t="s" s="27">
        <v>2486</v>
      </c>
      <c r="E1070" t="s" s="27">
        <v>548</v>
      </c>
      <c r="F1070" t="s" s="27">
        <v>2174</v>
      </c>
      <c r="G1070" s="33"/>
      <c r="H1070" s="34"/>
      <c r="I1070" s="42"/>
      <c r="J1070" s="43"/>
    </row>
    <row r="1071" ht="16" customHeight="1">
      <c r="A1071" t="s" s="26">
        <v>2487</v>
      </c>
      <c r="B1071" t="s" s="27">
        <v>41</v>
      </c>
      <c r="C1071" t="s" s="27">
        <v>42</v>
      </c>
      <c r="D1071" t="s" s="27">
        <v>2488</v>
      </c>
      <c r="E1071" t="s" s="27">
        <v>551</v>
      </c>
      <c r="F1071" t="s" s="27">
        <v>2174</v>
      </c>
      <c r="G1071" s="33"/>
      <c r="H1071" s="34"/>
      <c r="I1071" s="42"/>
      <c r="J1071" s="43"/>
    </row>
    <row r="1072" ht="16" customHeight="1">
      <c r="A1072" t="s" s="26">
        <v>2489</v>
      </c>
      <c r="B1072" t="s" s="27">
        <v>41</v>
      </c>
      <c r="C1072" t="s" s="27">
        <v>42</v>
      </c>
      <c r="D1072" t="s" s="27">
        <v>2490</v>
      </c>
      <c r="E1072" t="s" s="27">
        <v>1257</v>
      </c>
      <c r="F1072" t="s" s="27">
        <v>2174</v>
      </c>
      <c r="G1072" s="33"/>
      <c r="H1072" s="34"/>
      <c r="I1072" s="42"/>
      <c r="J1072" s="43"/>
    </row>
    <row r="1073" ht="16" customHeight="1">
      <c r="A1073" t="s" s="26">
        <v>2491</v>
      </c>
      <c r="B1073" t="s" s="27">
        <v>41</v>
      </c>
      <c r="C1073" t="s" s="27">
        <v>42</v>
      </c>
      <c r="D1073" t="s" s="27">
        <v>2492</v>
      </c>
      <c r="E1073" t="s" s="27">
        <v>554</v>
      </c>
      <c r="F1073" t="s" s="27">
        <v>2174</v>
      </c>
      <c r="G1073" s="33"/>
      <c r="H1073" s="34"/>
      <c r="I1073" s="42"/>
      <c r="J1073" s="43"/>
    </row>
    <row r="1074" ht="16" customHeight="1">
      <c r="A1074" t="s" s="26">
        <v>2493</v>
      </c>
      <c r="B1074" t="s" s="27">
        <v>41</v>
      </c>
      <c r="C1074" t="s" s="27">
        <v>838</v>
      </c>
      <c r="D1074" t="s" s="27">
        <v>2494</v>
      </c>
      <c r="E1074" t="s" s="27">
        <v>557</v>
      </c>
      <c r="F1074" t="s" s="27">
        <v>2174</v>
      </c>
      <c r="G1074" s="33"/>
      <c r="H1074" s="34"/>
      <c r="I1074" s="42"/>
      <c r="J1074" s="43"/>
    </row>
    <row r="1075" ht="16" customHeight="1">
      <c r="A1075" t="s" s="26">
        <v>2495</v>
      </c>
      <c r="B1075" t="s" s="27">
        <v>41</v>
      </c>
      <c r="C1075" t="s" s="27">
        <v>57</v>
      </c>
      <c r="D1075" t="s" s="27">
        <v>2496</v>
      </c>
      <c r="E1075" t="s" s="27">
        <v>560</v>
      </c>
      <c r="F1075" t="s" s="27">
        <v>2174</v>
      </c>
      <c r="G1075" s="33"/>
      <c r="H1075" s="34"/>
      <c r="I1075" s="42"/>
      <c r="J1075" s="43"/>
    </row>
    <row r="1076" ht="16" customHeight="1">
      <c r="A1076" t="s" s="26">
        <v>2497</v>
      </c>
      <c r="B1076" t="s" s="27">
        <v>41</v>
      </c>
      <c r="C1076" s="35"/>
      <c r="D1076" t="s" s="27">
        <v>2498</v>
      </c>
      <c r="E1076" t="s" s="27">
        <v>563</v>
      </c>
      <c r="F1076" t="s" s="27">
        <v>2174</v>
      </c>
      <c r="G1076" s="33"/>
      <c r="H1076" s="34"/>
      <c r="I1076" s="42"/>
      <c r="J1076" s="43"/>
    </row>
    <row r="1077" ht="16" customHeight="1">
      <c r="A1077" t="s" s="26">
        <v>2499</v>
      </c>
      <c r="B1077" t="s" s="27">
        <v>41</v>
      </c>
      <c r="C1077" t="s" s="27">
        <v>42</v>
      </c>
      <c r="D1077" t="s" s="27">
        <v>2500</v>
      </c>
      <c r="E1077" t="s" s="27">
        <v>566</v>
      </c>
      <c r="F1077" t="s" s="27">
        <v>2174</v>
      </c>
      <c r="G1077" s="33"/>
      <c r="H1077" s="34"/>
      <c r="I1077" s="42"/>
      <c r="J1077" s="43"/>
    </row>
    <row r="1078" ht="16" customHeight="1">
      <c r="A1078" t="s" s="26">
        <v>2501</v>
      </c>
      <c r="B1078" t="s" s="27">
        <v>41</v>
      </c>
      <c r="C1078" t="s" s="27">
        <v>42</v>
      </c>
      <c r="D1078" t="s" s="27">
        <v>2502</v>
      </c>
      <c r="E1078" t="s" s="27">
        <v>570</v>
      </c>
      <c r="F1078" t="s" s="27">
        <v>2174</v>
      </c>
      <c r="G1078" s="33"/>
      <c r="H1078" s="34"/>
      <c r="I1078" s="42"/>
      <c r="J1078" s="43"/>
    </row>
    <row r="1079" ht="16" customHeight="1">
      <c r="A1079" t="s" s="26">
        <v>2503</v>
      </c>
      <c r="B1079" t="s" s="27">
        <v>41</v>
      </c>
      <c r="C1079" t="s" s="27">
        <v>42</v>
      </c>
      <c r="D1079" t="s" s="27">
        <v>2504</v>
      </c>
      <c r="E1079" t="s" s="27">
        <v>573</v>
      </c>
      <c r="F1079" t="s" s="27">
        <v>2174</v>
      </c>
      <c r="G1079" s="33"/>
      <c r="H1079" s="34"/>
      <c r="I1079" s="42"/>
      <c r="J1079" s="43"/>
    </row>
    <row r="1080" ht="16" customHeight="1">
      <c r="A1080" t="s" s="26">
        <v>2505</v>
      </c>
      <c r="B1080" t="s" s="27">
        <v>41</v>
      </c>
      <c r="C1080" t="s" s="27">
        <v>423</v>
      </c>
      <c r="D1080" t="s" s="27">
        <v>2506</v>
      </c>
      <c r="E1080" t="s" s="27">
        <v>576</v>
      </c>
      <c r="F1080" t="s" s="27">
        <v>2174</v>
      </c>
      <c r="G1080" s="33"/>
      <c r="H1080" s="34"/>
      <c r="I1080" s="42"/>
      <c r="J1080" s="43"/>
    </row>
    <row r="1081" ht="16" customHeight="1">
      <c r="A1081" t="s" s="26">
        <v>2507</v>
      </c>
      <c r="B1081" t="s" s="27">
        <v>41</v>
      </c>
      <c r="C1081" t="s" s="27">
        <v>838</v>
      </c>
      <c r="D1081" t="s" s="27">
        <v>2508</v>
      </c>
      <c r="E1081" t="s" s="27">
        <v>580</v>
      </c>
      <c r="F1081" t="s" s="27">
        <v>2174</v>
      </c>
      <c r="G1081" s="33"/>
      <c r="H1081" s="34"/>
      <c r="I1081" s="42"/>
      <c r="J1081" s="43"/>
    </row>
    <row r="1082" ht="16" customHeight="1">
      <c r="A1082" t="s" s="26">
        <v>2509</v>
      </c>
      <c r="B1082" t="s" s="27">
        <v>41</v>
      </c>
      <c r="C1082" t="s" s="27">
        <v>42</v>
      </c>
      <c r="D1082" t="s" s="27">
        <v>2510</v>
      </c>
      <c r="E1082" t="s" s="27">
        <v>588</v>
      </c>
      <c r="F1082" t="s" s="27">
        <v>2174</v>
      </c>
      <c r="G1082" s="33"/>
      <c r="H1082" s="34"/>
      <c r="I1082" s="42"/>
      <c r="J1082" s="43"/>
    </row>
    <row r="1083" ht="16" customHeight="1">
      <c r="A1083" t="s" s="26">
        <v>2511</v>
      </c>
      <c r="B1083" t="s" s="27">
        <v>41</v>
      </c>
      <c r="C1083" t="s" s="27">
        <v>838</v>
      </c>
      <c r="D1083" t="s" s="27">
        <v>2512</v>
      </c>
      <c r="E1083" t="s" s="27">
        <v>591</v>
      </c>
      <c r="F1083" t="s" s="27">
        <v>2174</v>
      </c>
      <c r="G1083" s="33"/>
      <c r="H1083" s="34"/>
      <c r="I1083" s="42"/>
      <c r="J1083" s="43"/>
    </row>
    <row r="1084" ht="16" customHeight="1">
      <c r="A1084" t="s" s="26">
        <v>2513</v>
      </c>
      <c r="B1084" t="s" s="27">
        <v>41</v>
      </c>
      <c r="C1084" t="s" s="27">
        <v>838</v>
      </c>
      <c r="D1084" t="s" s="27">
        <v>2313</v>
      </c>
      <c r="E1084" t="s" s="27">
        <v>594</v>
      </c>
      <c r="F1084" t="s" s="27">
        <v>2174</v>
      </c>
      <c r="G1084" s="33"/>
      <c r="H1084" s="34"/>
      <c r="I1084" s="42"/>
      <c r="J1084" s="43"/>
    </row>
    <row r="1085" ht="16" customHeight="1">
      <c r="A1085" t="s" s="26">
        <v>2514</v>
      </c>
      <c r="B1085" t="s" s="27">
        <v>41</v>
      </c>
      <c r="C1085" t="s" s="27">
        <v>42</v>
      </c>
      <c r="D1085" t="s" s="27">
        <v>2515</v>
      </c>
      <c r="E1085" t="s" s="27">
        <v>597</v>
      </c>
      <c r="F1085" t="s" s="27">
        <v>2174</v>
      </c>
      <c r="G1085" s="33"/>
      <c r="H1085" s="34"/>
      <c r="I1085" s="42"/>
      <c r="J1085" s="43"/>
    </row>
    <row r="1086" ht="16" customHeight="1">
      <c r="A1086" t="s" s="26">
        <v>2516</v>
      </c>
      <c r="B1086" t="s" s="27">
        <v>41</v>
      </c>
      <c r="C1086" t="s" s="27">
        <v>838</v>
      </c>
      <c r="D1086" t="s" s="27">
        <v>2263</v>
      </c>
      <c r="E1086" t="s" s="27">
        <v>600</v>
      </c>
      <c r="F1086" t="s" s="27">
        <v>2174</v>
      </c>
      <c r="G1086" s="33"/>
      <c r="H1086" s="34"/>
      <c r="I1086" s="42"/>
      <c r="J1086" s="43"/>
    </row>
    <row r="1087" ht="16" customHeight="1">
      <c r="A1087" t="s" s="26">
        <v>2517</v>
      </c>
      <c r="B1087" t="s" s="27">
        <v>41</v>
      </c>
      <c r="C1087" t="s" s="27">
        <v>42</v>
      </c>
      <c r="D1087" t="s" s="27">
        <v>2518</v>
      </c>
      <c r="E1087" t="s" s="27">
        <v>603</v>
      </c>
      <c r="F1087" t="s" s="27">
        <v>2174</v>
      </c>
      <c r="G1087" s="33"/>
      <c r="H1087" s="34"/>
      <c r="I1087" s="42"/>
      <c r="J1087" s="43"/>
    </row>
    <row r="1088" ht="16" customHeight="1">
      <c r="A1088" t="s" s="26">
        <v>2519</v>
      </c>
      <c r="B1088" t="s" s="27">
        <v>41</v>
      </c>
      <c r="C1088" t="s" s="27">
        <v>838</v>
      </c>
      <c r="D1088" t="s" s="27">
        <v>2520</v>
      </c>
      <c r="E1088" t="s" s="27">
        <v>606</v>
      </c>
      <c r="F1088" t="s" s="27">
        <v>2174</v>
      </c>
      <c r="G1088" s="33"/>
      <c r="H1088" s="34"/>
      <c r="I1088" s="42"/>
      <c r="J1088" s="43"/>
    </row>
    <row r="1089" ht="16" customHeight="1">
      <c r="A1089" t="s" s="26">
        <v>2521</v>
      </c>
      <c r="B1089" t="s" s="27">
        <v>41</v>
      </c>
      <c r="C1089" t="s" s="27">
        <v>42</v>
      </c>
      <c r="D1089" t="s" s="27">
        <v>2522</v>
      </c>
      <c r="E1089" t="s" s="27">
        <v>609</v>
      </c>
      <c r="F1089" t="s" s="27">
        <v>2174</v>
      </c>
      <c r="G1089" s="33"/>
      <c r="H1089" s="34"/>
      <c r="I1089" s="42"/>
      <c r="J1089" s="43"/>
    </row>
    <row r="1090" ht="16" customHeight="1">
      <c r="A1090" t="s" s="26">
        <v>2523</v>
      </c>
      <c r="B1090" t="s" s="27">
        <v>41</v>
      </c>
      <c r="C1090" t="s" s="27">
        <v>42</v>
      </c>
      <c r="D1090" t="s" s="27">
        <v>2524</v>
      </c>
      <c r="E1090" t="s" s="27">
        <v>612</v>
      </c>
      <c r="F1090" t="s" s="27">
        <v>2174</v>
      </c>
      <c r="G1090" s="33"/>
      <c r="H1090" s="34"/>
      <c r="I1090" s="42"/>
      <c r="J1090" s="43"/>
    </row>
    <row r="1091" ht="16" customHeight="1">
      <c r="A1091" t="s" s="26">
        <v>2525</v>
      </c>
      <c r="B1091" t="s" s="27">
        <v>41</v>
      </c>
      <c r="C1091" t="s" s="27">
        <v>42</v>
      </c>
      <c r="D1091" t="s" s="27">
        <v>2526</v>
      </c>
      <c r="E1091" t="s" s="27">
        <v>615</v>
      </c>
      <c r="F1091" t="s" s="27">
        <v>2174</v>
      </c>
      <c r="G1091" s="33"/>
      <c r="H1091" s="34"/>
      <c r="I1091" s="42"/>
      <c r="J1091" s="43"/>
    </row>
    <row r="1092" ht="16" customHeight="1">
      <c r="A1092" t="s" s="26">
        <v>2527</v>
      </c>
      <c r="B1092" t="s" s="27">
        <v>41</v>
      </c>
      <c r="C1092" t="s" s="27">
        <v>42</v>
      </c>
      <c r="D1092" t="s" s="27">
        <v>2528</v>
      </c>
      <c r="E1092" t="s" s="27">
        <v>618</v>
      </c>
      <c r="F1092" t="s" s="27">
        <v>2174</v>
      </c>
      <c r="G1092" s="33"/>
      <c r="H1092" s="34"/>
      <c r="I1092" s="42"/>
      <c r="J1092" s="43"/>
    </row>
    <row r="1093" ht="16" customHeight="1">
      <c r="A1093" t="s" s="26">
        <v>2529</v>
      </c>
      <c r="B1093" t="s" s="27">
        <v>41</v>
      </c>
      <c r="C1093" t="s" s="27">
        <v>42</v>
      </c>
      <c r="D1093" t="s" s="27">
        <v>2530</v>
      </c>
      <c r="E1093" t="s" s="27">
        <v>621</v>
      </c>
      <c r="F1093" t="s" s="27">
        <v>2174</v>
      </c>
      <c r="G1093" s="33"/>
      <c r="H1093" s="34"/>
      <c r="I1093" s="42"/>
      <c r="J1093" s="43"/>
    </row>
    <row r="1094" ht="16" customHeight="1">
      <c r="A1094" t="s" s="26">
        <v>2531</v>
      </c>
      <c r="B1094" t="s" s="27">
        <v>41</v>
      </c>
      <c r="C1094" t="s" s="27">
        <v>838</v>
      </c>
      <c r="D1094" t="s" s="27">
        <v>2532</v>
      </c>
      <c r="E1094" t="s" s="27">
        <v>627</v>
      </c>
      <c r="F1094" t="s" s="27">
        <v>2174</v>
      </c>
      <c r="G1094" s="33"/>
      <c r="H1094" s="34"/>
      <c r="I1094" s="42"/>
      <c r="J1094" s="43"/>
    </row>
    <row r="1095" ht="16" customHeight="1">
      <c r="A1095" t="s" s="26">
        <v>2533</v>
      </c>
      <c r="B1095" t="s" s="27">
        <v>41</v>
      </c>
      <c r="C1095" t="s" s="27">
        <v>838</v>
      </c>
      <c r="D1095" t="s" s="27">
        <v>2534</v>
      </c>
      <c r="E1095" t="s" s="27">
        <v>632</v>
      </c>
      <c r="F1095" t="s" s="27">
        <v>2174</v>
      </c>
      <c r="G1095" s="33"/>
      <c r="H1095" s="34"/>
      <c r="I1095" s="42"/>
      <c r="J1095" s="43"/>
    </row>
    <row r="1096" ht="16" customHeight="1">
      <c r="A1096" t="s" s="26">
        <v>2535</v>
      </c>
      <c r="B1096" t="s" s="27">
        <v>41</v>
      </c>
      <c r="C1096" t="s" s="27">
        <v>42</v>
      </c>
      <c r="D1096" t="s" s="27">
        <v>2536</v>
      </c>
      <c r="E1096" t="s" s="27">
        <v>635</v>
      </c>
      <c r="F1096" t="s" s="27">
        <v>2174</v>
      </c>
      <c r="G1096" s="33"/>
      <c r="H1096" s="34"/>
      <c r="I1096" s="42"/>
      <c r="J1096" s="43"/>
    </row>
    <row r="1097" ht="16" customHeight="1">
      <c r="A1097" t="s" s="26">
        <v>2537</v>
      </c>
      <c r="B1097" t="s" s="27">
        <v>41</v>
      </c>
      <c r="C1097" t="s" s="27">
        <v>42</v>
      </c>
      <c r="D1097" t="s" s="27">
        <v>2538</v>
      </c>
      <c r="E1097" t="s" s="27">
        <v>639</v>
      </c>
      <c r="F1097" t="s" s="27">
        <v>2174</v>
      </c>
      <c r="G1097" s="33"/>
      <c r="H1097" s="34"/>
      <c r="I1097" s="42"/>
      <c r="J1097" s="43"/>
    </row>
    <row r="1098" ht="16" customHeight="1">
      <c r="A1098" t="s" s="26">
        <v>2539</v>
      </c>
      <c r="B1098" t="s" s="27">
        <v>41</v>
      </c>
      <c r="C1098" t="s" s="27">
        <v>42</v>
      </c>
      <c r="D1098" t="s" s="27">
        <v>2540</v>
      </c>
      <c r="E1098" t="s" s="27">
        <v>642</v>
      </c>
      <c r="F1098" t="s" s="27">
        <v>2174</v>
      </c>
      <c r="G1098" s="33"/>
      <c r="H1098" s="34"/>
      <c r="I1098" s="42"/>
      <c r="J1098" s="43"/>
    </row>
    <row r="1099" ht="16" customHeight="1">
      <c r="A1099" t="s" s="26">
        <v>2541</v>
      </c>
      <c r="B1099" t="s" s="27">
        <v>41</v>
      </c>
      <c r="C1099" t="s" s="27">
        <v>838</v>
      </c>
      <c r="D1099" t="s" s="27">
        <v>2542</v>
      </c>
      <c r="E1099" t="s" s="27">
        <v>645</v>
      </c>
      <c r="F1099" t="s" s="27">
        <v>2174</v>
      </c>
      <c r="G1099" s="33"/>
      <c r="H1099" s="34"/>
      <c r="I1099" s="42"/>
      <c r="J1099" s="43"/>
    </row>
    <row r="1100" ht="16" customHeight="1">
      <c r="A1100" t="s" s="26">
        <v>2543</v>
      </c>
      <c r="B1100" t="s" s="27">
        <v>41</v>
      </c>
      <c r="C1100" t="s" s="27">
        <v>42</v>
      </c>
      <c r="D1100" t="s" s="27">
        <v>2544</v>
      </c>
      <c r="E1100" t="s" s="27">
        <v>648</v>
      </c>
      <c r="F1100" t="s" s="27">
        <v>2174</v>
      </c>
      <c r="G1100" s="33"/>
      <c r="H1100" s="34"/>
      <c r="I1100" s="42"/>
      <c r="J1100" s="43"/>
    </row>
    <row r="1101" ht="16" customHeight="1">
      <c r="A1101" t="s" s="26">
        <v>2545</v>
      </c>
      <c r="B1101" t="s" s="27">
        <v>41</v>
      </c>
      <c r="C1101" t="s" s="27">
        <v>57</v>
      </c>
      <c r="D1101" t="s" s="27">
        <v>2546</v>
      </c>
      <c r="E1101" t="s" s="27">
        <v>651</v>
      </c>
      <c r="F1101" t="s" s="27">
        <v>2174</v>
      </c>
      <c r="G1101" s="33"/>
      <c r="H1101" s="34"/>
      <c r="I1101" s="42"/>
      <c r="J1101" s="43"/>
    </row>
    <row r="1102" ht="16" customHeight="1">
      <c r="A1102" t="s" s="26">
        <v>2547</v>
      </c>
      <c r="B1102" t="s" s="27">
        <v>41</v>
      </c>
      <c r="C1102" t="s" s="27">
        <v>838</v>
      </c>
      <c r="D1102" t="s" s="27">
        <v>2548</v>
      </c>
      <c r="E1102" t="s" s="27">
        <v>657</v>
      </c>
      <c r="F1102" t="s" s="27">
        <v>2174</v>
      </c>
      <c r="G1102" s="33"/>
      <c r="H1102" s="34"/>
      <c r="I1102" s="42"/>
      <c r="J1102" s="43"/>
    </row>
    <row r="1103" ht="16" customHeight="1">
      <c r="A1103" t="s" s="26">
        <v>2549</v>
      </c>
      <c r="B1103" t="s" s="27">
        <v>41</v>
      </c>
      <c r="C1103" t="s" s="27">
        <v>838</v>
      </c>
      <c r="D1103" t="s" s="27">
        <v>2550</v>
      </c>
      <c r="E1103" t="s" s="27">
        <v>660</v>
      </c>
      <c r="F1103" t="s" s="27">
        <v>2174</v>
      </c>
      <c r="G1103" s="33"/>
      <c r="H1103" s="34"/>
      <c r="I1103" s="42"/>
      <c r="J1103" s="43"/>
    </row>
    <row r="1104" ht="16" customHeight="1">
      <c r="A1104" t="s" s="26">
        <v>2551</v>
      </c>
      <c r="B1104" t="s" s="27">
        <v>41</v>
      </c>
      <c r="C1104" t="s" s="27">
        <v>423</v>
      </c>
      <c r="D1104" t="s" s="27">
        <v>2552</v>
      </c>
      <c r="E1104" t="s" s="27">
        <v>666</v>
      </c>
      <c r="F1104" t="s" s="27">
        <v>2174</v>
      </c>
      <c r="G1104" s="33"/>
      <c r="H1104" s="34"/>
      <c r="I1104" s="42"/>
      <c r="J1104" s="43"/>
    </row>
    <row r="1105" ht="16" customHeight="1">
      <c r="A1105" t="s" s="26">
        <v>2553</v>
      </c>
      <c r="B1105" t="s" s="27">
        <v>41</v>
      </c>
      <c r="C1105" t="s" s="27">
        <v>838</v>
      </c>
      <c r="D1105" t="s" s="27">
        <v>2554</v>
      </c>
      <c r="E1105" t="s" s="27">
        <v>669</v>
      </c>
      <c r="F1105" t="s" s="27">
        <v>2174</v>
      </c>
      <c r="G1105" s="33"/>
      <c r="H1105" s="34"/>
      <c r="I1105" s="42"/>
      <c r="J1105" s="43"/>
    </row>
    <row r="1106" ht="16" customHeight="1">
      <c r="A1106" t="s" s="26">
        <v>2555</v>
      </c>
      <c r="B1106" t="s" s="27">
        <v>41</v>
      </c>
      <c r="C1106" t="s" s="27">
        <v>838</v>
      </c>
      <c r="D1106" t="s" s="27">
        <v>2556</v>
      </c>
      <c r="E1106" t="s" s="27">
        <v>672</v>
      </c>
      <c r="F1106" t="s" s="27">
        <v>2174</v>
      </c>
      <c r="G1106" s="33"/>
      <c r="H1106" s="34"/>
      <c r="I1106" s="42"/>
      <c r="J1106" s="43"/>
    </row>
    <row r="1107" ht="16" customHeight="1">
      <c r="A1107" t="s" s="26">
        <v>2557</v>
      </c>
      <c r="B1107" t="s" s="27">
        <v>41</v>
      </c>
      <c r="C1107" t="s" s="27">
        <v>42</v>
      </c>
      <c r="D1107" t="s" s="27">
        <v>2558</v>
      </c>
      <c r="E1107" t="s" s="27">
        <v>675</v>
      </c>
      <c r="F1107" t="s" s="27">
        <v>2174</v>
      </c>
      <c r="G1107" s="33"/>
      <c r="H1107" s="34"/>
      <c r="I1107" s="42"/>
      <c r="J1107" s="43"/>
    </row>
    <row r="1108" ht="16" customHeight="1">
      <c r="A1108" t="s" s="26">
        <v>2559</v>
      </c>
      <c r="B1108" t="s" s="27">
        <v>41</v>
      </c>
      <c r="C1108" t="s" s="27">
        <v>42</v>
      </c>
      <c r="D1108" t="s" s="27">
        <v>2560</v>
      </c>
      <c r="E1108" t="s" s="27">
        <v>678</v>
      </c>
      <c r="F1108" t="s" s="27">
        <v>2174</v>
      </c>
      <c r="G1108" s="33"/>
      <c r="H1108" s="34"/>
      <c r="I1108" s="42"/>
      <c r="J1108" s="43"/>
    </row>
    <row r="1109" ht="16" customHeight="1">
      <c r="A1109" t="s" s="26">
        <v>2561</v>
      </c>
      <c r="B1109" t="s" s="27">
        <v>41</v>
      </c>
      <c r="C1109" t="s" s="27">
        <v>423</v>
      </c>
      <c r="D1109" t="s" s="27">
        <v>2562</v>
      </c>
      <c r="E1109" t="s" s="27">
        <v>681</v>
      </c>
      <c r="F1109" t="s" s="27">
        <v>2174</v>
      </c>
      <c r="G1109" s="33"/>
      <c r="H1109" s="34"/>
      <c r="I1109" s="42"/>
      <c r="J1109" s="43"/>
    </row>
    <row r="1110" ht="16" customHeight="1">
      <c r="A1110" t="s" s="26">
        <v>2563</v>
      </c>
      <c r="B1110" t="s" s="27">
        <v>41</v>
      </c>
      <c r="C1110" t="s" s="27">
        <v>42</v>
      </c>
      <c r="D1110" t="s" s="27">
        <v>2564</v>
      </c>
      <c r="E1110" t="s" s="27">
        <v>684</v>
      </c>
      <c r="F1110" t="s" s="27">
        <v>2174</v>
      </c>
      <c r="G1110" s="33"/>
      <c r="H1110" s="34"/>
      <c r="I1110" s="42"/>
      <c r="J1110" s="43"/>
    </row>
    <row r="1111" ht="16" customHeight="1">
      <c r="A1111" t="s" s="26">
        <v>2565</v>
      </c>
      <c r="B1111" t="s" s="27">
        <v>41</v>
      </c>
      <c r="C1111" t="s" s="27">
        <v>42</v>
      </c>
      <c r="D1111" t="s" s="27">
        <v>2566</v>
      </c>
      <c r="E1111" t="s" s="27">
        <v>687</v>
      </c>
      <c r="F1111" t="s" s="27">
        <v>2174</v>
      </c>
      <c r="G1111" s="33"/>
      <c r="H1111" s="34"/>
      <c r="I1111" s="42"/>
      <c r="J1111" s="43"/>
    </row>
    <row r="1112" ht="16" customHeight="1">
      <c r="A1112" t="s" s="26">
        <v>2567</v>
      </c>
      <c r="B1112" t="s" s="27">
        <v>41</v>
      </c>
      <c r="C1112" t="s" s="27">
        <v>42</v>
      </c>
      <c r="D1112" t="s" s="27">
        <v>2568</v>
      </c>
      <c r="E1112" t="s" s="27">
        <v>690</v>
      </c>
      <c r="F1112" t="s" s="27">
        <v>2174</v>
      </c>
      <c r="G1112" s="33"/>
      <c r="H1112" s="34"/>
      <c r="I1112" s="42"/>
      <c r="J1112" s="43"/>
    </row>
    <row r="1113" ht="16" customHeight="1">
      <c r="A1113" t="s" s="26">
        <v>2569</v>
      </c>
      <c r="B1113" t="s" s="27">
        <v>41</v>
      </c>
      <c r="C1113" t="s" s="27">
        <v>838</v>
      </c>
      <c r="D1113" t="s" s="27">
        <v>2570</v>
      </c>
      <c r="E1113" t="s" s="27">
        <v>693</v>
      </c>
      <c r="F1113" t="s" s="27">
        <v>2174</v>
      </c>
      <c r="G1113" s="33"/>
      <c r="H1113" s="34"/>
      <c r="I1113" s="42"/>
      <c r="J1113" s="43"/>
    </row>
    <row r="1114" ht="16" customHeight="1">
      <c r="A1114" t="s" s="26">
        <v>2571</v>
      </c>
      <c r="B1114" t="s" s="27">
        <v>41</v>
      </c>
      <c r="C1114" t="s" s="27">
        <v>42</v>
      </c>
      <c r="D1114" t="s" s="27">
        <v>2572</v>
      </c>
      <c r="E1114" t="s" s="27">
        <v>696</v>
      </c>
      <c r="F1114" t="s" s="27">
        <v>2174</v>
      </c>
      <c r="G1114" s="33"/>
      <c r="H1114" s="34"/>
      <c r="I1114" s="42"/>
      <c r="J1114" s="43"/>
    </row>
    <row r="1115" ht="16" customHeight="1">
      <c r="A1115" t="s" s="26">
        <v>2573</v>
      </c>
      <c r="B1115" t="s" s="27">
        <v>41</v>
      </c>
      <c r="C1115" t="s" s="27">
        <v>423</v>
      </c>
      <c r="D1115" t="s" s="27">
        <v>2574</v>
      </c>
      <c r="E1115" t="s" s="27">
        <v>699</v>
      </c>
      <c r="F1115" t="s" s="27">
        <v>2174</v>
      </c>
      <c r="G1115" s="33"/>
      <c r="H1115" s="34"/>
      <c r="I1115" s="42"/>
      <c r="J1115" s="43"/>
    </row>
    <row r="1116" ht="16" customHeight="1">
      <c r="A1116" t="s" s="26">
        <v>2575</v>
      </c>
      <c r="B1116" t="s" s="27">
        <v>41</v>
      </c>
      <c r="C1116" t="s" s="27">
        <v>423</v>
      </c>
      <c r="D1116" t="s" s="27">
        <v>1372</v>
      </c>
      <c r="E1116" t="s" s="27">
        <v>702</v>
      </c>
      <c r="F1116" t="s" s="27">
        <v>2174</v>
      </c>
      <c r="G1116" s="33"/>
      <c r="H1116" s="34"/>
      <c r="I1116" s="42"/>
      <c r="J1116" s="43"/>
    </row>
    <row r="1117" ht="16" customHeight="1">
      <c r="A1117" t="s" s="26">
        <v>2576</v>
      </c>
      <c r="B1117" t="s" s="27">
        <v>41</v>
      </c>
      <c r="C1117" t="s" s="27">
        <v>42</v>
      </c>
      <c r="D1117" t="s" s="27">
        <v>2577</v>
      </c>
      <c r="E1117" t="s" s="27">
        <v>705</v>
      </c>
      <c r="F1117" t="s" s="27">
        <v>2174</v>
      </c>
      <c r="G1117" s="33"/>
      <c r="H1117" s="34"/>
      <c r="I1117" s="42"/>
      <c r="J1117" s="43"/>
    </row>
    <row r="1118" ht="16" customHeight="1">
      <c r="A1118" t="s" s="26">
        <v>2578</v>
      </c>
      <c r="B1118" t="s" s="27">
        <v>41</v>
      </c>
      <c r="C1118" t="s" s="27">
        <v>449</v>
      </c>
      <c r="D1118" t="s" s="27">
        <v>2579</v>
      </c>
      <c r="E1118" t="s" s="27">
        <v>708</v>
      </c>
      <c r="F1118" t="s" s="27">
        <v>2174</v>
      </c>
      <c r="G1118" s="33"/>
      <c r="H1118" s="34"/>
      <c r="I1118" s="42"/>
      <c r="J1118" s="43"/>
    </row>
    <row r="1119" ht="16" customHeight="1">
      <c r="A1119" t="s" s="26">
        <v>2580</v>
      </c>
      <c r="B1119" t="s" s="27">
        <v>41</v>
      </c>
      <c r="C1119" t="s" s="27">
        <v>42</v>
      </c>
      <c r="D1119" t="s" s="27">
        <v>2581</v>
      </c>
      <c r="E1119" t="s" s="27">
        <v>711</v>
      </c>
      <c r="F1119" t="s" s="27">
        <v>2174</v>
      </c>
      <c r="G1119" s="33"/>
      <c r="H1119" s="34"/>
      <c r="I1119" s="42"/>
      <c r="J1119" s="43"/>
    </row>
    <row r="1120" ht="16" customHeight="1">
      <c r="A1120" t="s" s="26">
        <v>2582</v>
      </c>
      <c r="B1120" t="s" s="27">
        <v>41</v>
      </c>
      <c r="C1120" t="s" s="27">
        <v>42</v>
      </c>
      <c r="D1120" t="s" s="27">
        <v>2583</v>
      </c>
      <c r="E1120" t="s" s="27">
        <v>714</v>
      </c>
      <c r="F1120" t="s" s="27">
        <v>2174</v>
      </c>
      <c r="G1120" s="33"/>
      <c r="H1120" s="34"/>
      <c r="I1120" s="42"/>
      <c r="J1120" s="43"/>
    </row>
    <row r="1121" ht="16" customHeight="1">
      <c r="A1121" t="s" s="26">
        <v>2584</v>
      </c>
      <c r="B1121" t="s" s="27">
        <v>41</v>
      </c>
      <c r="C1121" s="35"/>
      <c r="D1121" t="s" s="27">
        <v>2585</v>
      </c>
      <c r="E1121" t="s" s="27">
        <v>717</v>
      </c>
      <c r="F1121" t="s" s="27">
        <v>2174</v>
      </c>
      <c r="G1121" s="33"/>
      <c r="H1121" s="34"/>
      <c r="I1121" s="42"/>
      <c r="J1121" s="43"/>
    </row>
    <row r="1122" ht="16" customHeight="1">
      <c r="A1122" t="s" s="26">
        <v>2586</v>
      </c>
      <c r="B1122" t="s" s="27">
        <v>41</v>
      </c>
      <c r="C1122" t="s" s="27">
        <v>42</v>
      </c>
      <c r="D1122" t="s" s="27">
        <v>2587</v>
      </c>
      <c r="E1122" t="s" s="27">
        <v>720</v>
      </c>
      <c r="F1122" t="s" s="27">
        <v>2174</v>
      </c>
      <c r="G1122" s="33"/>
      <c r="H1122" s="34"/>
      <c r="I1122" s="42"/>
      <c r="J1122" s="43"/>
    </row>
    <row r="1123" ht="16" customHeight="1">
      <c r="A1123" t="s" s="26">
        <v>2588</v>
      </c>
      <c r="B1123" t="s" s="27">
        <v>41</v>
      </c>
      <c r="C1123" t="s" s="27">
        <v>42</v>
      </c>
      <c r="D1123" t="s" s="27">
        <v>2589</v>
      </c>
      <c r="E1123" t="s" s="27">
        <v>723</v>
      </c>
      <c r="F1123" t="s" s="27">
        <v>2174</v>
      </c>
      <c r="G1123" s="33"/>
      <c r="H1123" s="34"/>
      <c r="I1123" s="42"/>
      <c r="J1123" s="43"/>
    </row>
    <row r="1124" ht="16" customHeight="1">
      <c r="A1124" t="s" s="26">
        <v>2590</v>
      </c>
      <c r="B1124" t="s" s="27">
        <v>41</v>
      </c>
      <c r="C1124" t="s" s="27">
        <v>838</v>
      </c>
      <c r="D1124" t="s" s="27">
        <v>2591</v>
      </c>
      <c r="E1124" t="s" s="27">
        <v>725</v>
      </c>
      <c r="F1124" t="s" s="27">
        <v>2174</v>
      </c>
      <c r="G1124" s="33"/>
      <c r="H1124" s="34"/>
      <c r="I1124" s="42"/>
      <c r="J1124" s="43"/>
    </row>
    <row r="1125" ht="16" customHeight="1">
      <c r="A1125" t="s" s="26">
        <v>2592</v>
      </c>
      <c r="B1125" t="s" s="27">
        <v>41</v>
      </c>
      <c r="C1125" s="35"/>
      <c r="D1125" t="s" s="27">
        <v>2593</v>
      </c>
      <c r="E1125" t="s" s="27">
        <v>727</v>
      </c>
      <c r="F1125" t="s" s="27">
        <v>2174</v>
      </c>
      <c r="G1125" s="33"/>
      <c r="H1125" s="34"/>
      <c r="I1125" s="42"/>
      <c r="J1125" s="43"/>
    </row>
    <row r="1126" ht="16" customHeight="1">
      <c r="A1126" t="s" s="26">
        <v>2594</v>
      </c>
      <c r="B1126" t="s" s="27">
        <v>41</v>
      </c>
      <c r="C1126" t="s" s="27">
        <v>42</v>
      </c>
      <c r="D1126" t="s" s="27">
        <v>2595</v>
      </c>
      <c r="E1126" t="s" s="27">
        <v>730</v>
      </c>
      <c r="F1126" t="s" s="27">
        <v>2174</v>
      </c>
      <c r="G1126" s="33"/>
      <c r="H1126" s="34"/>
      <c r="I1126" s="42"/>
      <c r="J1126" s="43"/>
    </row>
    <row r="1127" ht="16" customHeight="1">
      <c r="A1127" t="s" s="26">
        <v>2596</v>
      </c>
      <c r="B1127" t="s" s="27">
        <v>41</v>
      </c>
      <c r="C1127" t="s" s="27">
        <v>42</v>
      </c>
      <c r="D1127" t="s" s="27">
        <v>2597</v>
      </c>
      <c r="E1127" t="s" s="27">
        <v>733</v>
      </c>
      <c r="F1127" t="s" s="27">
        <v>2174</v>
      </c>
      <c r="G1127" s="33"/>
      <c r="H1127" s="34"/>
      <c r="I1127" s="42"/>
      <c r="J1127" s="43"/>
    </row>
    <row r="1128" ht="16" customHeight="1">
      <c r="A1128" t="s" s="26">
        <v>2598</v>
      </c>
      <c r="B1128" t="s" s="27">
        <v>41</v>
      </c>
      <c r="C1128" t="s" s="27">
        <v>423</v>
      </c>
      <c r="D1128" t="s" s="27">
        <v>2599</v>
      </c>
      <c r="E1128" t="s" s="27">
        <v>736</v>
      </c>
      <c r="F1128" t="s" s="27">
        <v>2174</v>
      </c>
      <c r="G1128" s="33"/>
      <c r="H1128" s="34"/>
      <c r="I1128" s="42"/>
      <c r="J1128" s="43"/>
    </row>
    <row r="1129" ht="16" customHeight="1">
      <c r="A1129" t="s" s="26">
        <v>2600</v>
      </c>
      <c r="B1129" t="s" s="27">
        <v>41</v>
      </c>
      <c r="C1129" t="s" s="27">
        <v>42</v>
      </c>
      <c r="D1129" t="s" s="27">
        <v>2299</v>
      </c>
      <c r="E1129" t="s" s="27">
        <v>739</v>
      </c>
      <c r="F1129" t="s" s="27">
        <v>2174</v>
      </c>
      <c r="G1129" s="33"/>
      <c r="H1129" s="34"/>
      <c r="I1129" s="42"/>
      <c r="J1129" s="43"/>
    </row>
    <row r="1130" ht="16" customHeight="1">
      <c r="A1130" t="s" s="26">
        <v>2601</v>
      </c>
      <c r="B1130" t="s" s="27">
        <v>41</v>
      </c>
      <c r="C1130" t="s" s="27">
        <v>42</v>
      </c>
      <c r="D1130" t="s" s="27">
        <v>2602</v>
      </c>
      <c r="E1130" t="s" s="27">
        <v>742</v>
      </c>
      <c r="F1130" t="s" s="27">
        <v>2174</v>
      </c>
      <c r="G1130" s="33"/>
      <c r="H1130" s="34"/>
      <c r="I1130" s="42"/>
      <c r="J1130" s="43"/>
    </row>
    <row r="1131" ht="16" customHeight="1">
      <c r="A1131" t="s" s="26">
        <v>2603</v>
      </c>
      <c r="B1131" t="s" s="27">
        <v>41</v>
      </c>
      <c r="C1131" t="s" s="27">
        <v>42</v>
      </c>
      <c r="D1131" t="s" s="27">
        <v>2604</v>
      </c>
      <c r="E1131" t="s" s="27">
        <v>745</v>
      </c>
      <c r="F1131" t="s" s="27">
        <v>2174</v>
      </c>
      <c r="G1131" s="33"/>
      <c r="H1131" s="34"/>
      <c r="I1131" s="42"/>
      <c r="J1131" s="43"/>
    </row>
    <row r="1132" ht="16" customHeight="1">
      <c r="A1132" t="s" s="26">
        <v>2605</v>
      </c>
      <c r="B1132" t="s" s="27">
        <v>41</v>
      </c>
      <c r="C1132" t="s" s="27">
        <v>423</v>
      </c>
      <c r="D1132" t="s" s="27">
        <v>2606</v>
      </c>
      <c r="E1132" t="s" s="27">
        <v>748</v>
      </c>
      <c r="F1132" t="s" s="27">
        <v>2174</v>
      </c>
      <c r="G1132" s="33"/>
      <c r="H1132" s="34"/>
      <c r="I1132" s="42"/>
      <c r="J1132" s="43"/>
    </row>
    <row r="1133" ht="16" customHeight="1">
      <c r="A1133" t="s" s="26">
        <v>2607</v>
      </c>
      <c r="B1133" t="s" s="27">
        <v>41</v>
      </c>
      <c r="C1133" t="s" s="27">
        <v>57</v>
      </c>
      <c r="D1133" t="s" s="27">
        <v>2608</v>
      </c>
      <c r="E1133" t="s" s="27">
        <v>751</v>
      </c>
      <c r="F1133" t="s" s="27">
        <v>2174</v>
      </c>
      <c r="G1133" s="33"/>
      <c r="H1133" s="34"/>
      <c r="I1133" s="42"/>
      <c r="J1133" s="43"/>
    </row>
    <row r="1134" ht="16" customHeight="1">
      <c r="A1134" t="s" s="26">
        <v>2609</v>
      </c>
      <c r="B1134" t="s" s="27">
        <v>41</v>
      </c>
      <c r="C1134" t="s" s="27">
        <v>838</v>
      </c>
      <c r="D1134" t="s" s="27">
        <v>2610</v>
      </c>
      <c r="E1134" t="s" s="27">
        <v>754</v>
      </c>
      <c r="F1134" t="s" s="27">
        <v>2174</v>
      </c>
      <c r="G1134" s="33"/>
      <c r="H1134" s="34"/>
      <c r="I1134" s="42"/>
      <c r="J1134" s="43"/>
    </row>
    <row r="1135" ht="16" customHeight="1">
      <c r="A1135" t="s" s="26">
        <v>2611</v>
      </c>
      <c r="B1135" t="s" s="27">
        <v>41</v>
      </c>
      <c r="C1135" t="s" s="27">
        <v>42</v>
      </c>
      <c r="D1135" t="s" s="27">
        <v>2612</v>
      </c>
      <c r="E1135" t="s" s="27">
        <v>757</v>
      </c>
      <c r="F1135" t="s" s="27">
        <v>2174</v>
      </c>
      <c r="G1135" s="33"/>
      <c r="H1135" s="34"/>
      <c r="I1135" s="42"/>
      <c r="J1135" s="43"/>
    </row>
    <row r="1136" ht="16" customHeight="1">
      <c r="A1136" t="s" s="26">
        <v>2613</v>
      </c>
      <c r="B1136" t="s" s="27">
        <v>41</v>
      </c>
      <c r="C1136" t="s" s="27">
        <v>42</v>
      </c>
      <c r="D1136" t="s" s="27">
        <v>2614</v>
      </c>
      <c r="E1136" t="s" s="27">
        <v>760</v>
      </c>
      <c r="F1136" t="s" s="27">
        <v>2174</v>
      </c>
      <c r="G1136" s="33"/>
      <c r="H1136" s="34"/>
      <c r="I1136" s="42"/>
      <c r="J1136" s="43"/>
    </row>
    <row r="1137" ht="16" customHeight="1">
      <c r="A1137" t="s" s="26">
        <v>2615</v>
      </c>
      <c r="B1137" t="s" s="27">
        <v>41</v>
      </c>
      <c r="C1137" t="s" s="27">
        <v>42</v>
      </c>
      <c r="D1137" t="s" s="27">
        <v>2616</v>
      </c>
      <c r="E1137" t="s" s="27">
        <v>763</v>
      </c>
      <c r="F1137" t="s" s="27">
        <v>2174</v>
      </c>
      <c r="G1137" s="33"/>
      <c r="H1137" s="34"/>
      <c r="I1137" s="42"/>
      <c r="J1137" s="43"/>
    </row>
    <row r="1138" ht="16" customHeight="1">
      <c r="A1138" t="s" s="26">
        <v>2617</v>
      </c>
      <c r="B1138" t="s" s="27">
        <v>41</v>
      </c>
      <c r="C1138" t="s" s="27">
        <v>42</v>
      </c>
      <c r="D1138" t="s" s="27">
        <v>2618</v>
      </c>
      <c r="E1138" t="s" s="27">
        <v>766</v>
      </c>
      <c r="F1138" t="s" s="27">
        <v>2174</v>
      </c>
      <c r="G1138" s="33"/>
      <c r="H1138" s="34"/>
      <c r="I1138" s="42"/>
      <c r="J1138" s="43"/>
    </row>
    <row r="1139" ht="16" customHeight="1">
      <c r="A1139" t="s" s="26">
        <v>2619</v>
      </c>
      <c r="B1139" t="s" s="27">
        <v>41</v>
      </c>
      <c r="C1139" t="s" s="27">
        <v>42</v>
      </c>
      <c r="D1139" t="s" s="27">
        <v>2620</v>
      </c>
      <c r="E1139" t="s" s="27">
        <v>769</v>
      </c>
      <c r="F1139" t="s" s="27">
        <v>2174</v>
      </c>
      <c r="G1139" s="33"/>
      <c r="H1139" s="34"/>
      <c r="I1139" s="42"/>
      <c r="J1139" s="43"/>
    </row>
    <row r="1140" ht="16" customHeight="1">
      <c r="A1140" t="s" s="26">
        <v>2621</v>
      </c>
      <c r="B1140" t="s" s="27">
        <v>41</v>
      </c>
      <c r="C1140" t="s" s="27">
        <v>423</v>
      </c>
      <c r="D1140" t="s" s="27">
        <v>2622</v>
      </c>
      <c r="E1140" t="s" s="27">
        <v>772</v>
      </c>
      <c r="F1140" t="s" s="27">
        <v>2174</v>
      </c>
      <c r="G1140" s="33"/>
      <c r="H1140" s="34"/>
      <c r="I1140" s="42"/>
      <c r="J1140" s="43"/>
    </row>
    <row r="1141" ht="16" customHeight="1">
      <c r="A1141" t="s" s="26">
        <v>2623</v>
      </c>
      <c r="B1141" t="s" s="27">
        <v>41</v>
      </c>
      <c r="C1141" t="s" s="27">
        <v>838</v>
      </c>
      <c r="D1141" t="s" s="27">
        <v>2624</v>
      </c>
      <c r="E1141" t="s" s="27">
        <v>775</v>
      </c>
      <c r="F1141" t="s" s="27">
        <v>2174</v>
      </c>
      <c r="G1141" s="33"/>
      <c r="H1141" s="34"/>
      <c r="I1141" s="42"/>
      <c r="J1141" s="43"/>
    </row>
    <row r="1142" ht="16" customHeight="1">
      <c r="A1142" t="s" s="26">
        <v>2625</v>
      </c>
      <c r="B1142" t="s" s="27">
        <v>41</v>
      </c>
      <c r="C1142" t="s" s="27">
        <v>42</v>
      </c>
      <c r="D1142" t="s" s="27">
        <v>2626</v>
      </c>
      <c r="E1142" t="s" s="27">
        <v>778</v>
      </c>
      <c r="F1142" t="s" s="27">
        <v>2174</v>
      </c>
      <c r="G1142" s="33"/>
      <c r="H1142" s="34"/>
      <c r="I1142" s="42"/>
      <c r="J1142" s="43"/>
    </row>
    <row r="1143" ht="16" customHeight="1">
      <c r="A1143" t="s" s="26">
        <v>2627</v>
      </c>
      <c r="B1143" t="s" s="27">
        <v>41</v>
      </c>
      <c r="C1143" t="s" s="27">
        <v>42</v>
      </c>
      <c r="D1143" t="s" s="27">
        <v>2628</v>
      </c>
      <c r="E1143" t="s" s="27">
        <v>781</v>
      </c>
      <c r="F1143" t="s" s="27">
        <v>2174</v>
      </c>
      <c r="G1143" s="33"/>
      <c r="H1143" s="34"/>
      <c r="I1143" s="42"/>
      <c r="J1143" s="43"/>
    </row>
    <row r="1144" ht="16" customHeight="1">
      <c r="A1144" t="s" s="26">
        <v>2629</v>
      </c>
      <c r="B1144" t="s" s="27">
        <v>41</v>
      </c>
      <c r="C1144" t="s" s="27">
        <v>42</v>
      </c>
      <c r="D1144" t="s" s="27">
        <v>2630</v>
      </c>
      <c r="E1144" t="s" s="27">
        <v>784</v>
      </c>
      <c r="F1144" t="s" s="27">
        <v>2174</v>
      </c>
      <c r="G1144" s="33"/>
      <c r="H1144" s="34"/>
      <c r="I1144" s="42"/>
      <c r="J1144" s="43"/>
    </row>
    <row r="1145" ht="16" customHeight="1">
      <c r="A1145" t="s" s="26">
        <v>2631</v>
      </c>
      <c r="B1145" t="s" s="27">
        <v>41</v>
      </c>
      <c r="C1145" t="s" s="27">
        <v>838</v>
      </c>
      <c r="D1145" t="s" s="27">
        <v>2632</v>
      </c>
      <c r="E1145" t="s" s="27">
        <v>790</v>
      </c>
      <c r="F1145" t="s" s="27">
        <v>2174</v>
      </c>
      <c r="G1145" s="33"/>
      <c r="H1145" s="34"/>
      <c r="I1145" s="42"/>
      <c r="J1145" s="43"/>
    </row>
    <row r="1146" ht="16" customHeight="1">
      <c r="A1146" t="s" s="26">
        <v>2633</v>
      </c>
      <c r="B1146" t="s" s="27">
        <v>41</v>
      </c>
      <c r="C1146" t="s" s="27">
        <v>838</v>
      </c>
      <c r="D1146" t="s" s="27">
        <v>2634</v>
      </c>
      <c r="E1146" t="s" s="27">
        <v>793</v>
      </c>
      <c r="F1146" t="s" s="27">
        <v>2174</v>
      </c>
      <c r="G1146" s="33"/>
      <c r="H1146" s="34"/>
      <c r="I1146" s="42"/>
      <c r="J1146" s="43"/>
    </row>
    <row r="1147" ht="16" customHeight="1">
      <c r="A1147" t="s" s="26">
        <v>2635</v>
      </c>
      <c r="B1147" t="s" s="27">
        <v>41</v>
      </c>
      <c r="C1147" t="s" s="27">
        <v>42</v>
      </c>
      <c r="D1147" t="s" s="27">
        <v>2636</v>
      </c>
      <c r="E1147" t="s" s="27">
        <v>796</v>
      </c>
      <c r="F1147" t="s" s="27">
        <v>2174</v>
      </c>
      <c r="G1147" s="33"/>
      <c r="H1147" s="34"/>
      <c r="I1147" s="42"/>
      <c r="J1147" s="43"/>
    </row>
    <row r="1148" ht="16" customHeight="1">
      <c r="A1148" t="s" s="26">
        <v>2637</v>
      </c>
      <c r="B1148" t="s" s="27">
        <v>41</v>
      </c>
      <c r="C1148" t="s" s="27">
        <v>838</v>
      </c>
      <c r="D1148" t="s" s="27">
        <v>1659</v>
      </c>
      <c r="E1148" t="s" s="27">
        <v>799</v>
      </c>
      <c r="F1148" t="s" s="27">
        <v>2174</v>
      </c>
      <c r="G1148" s="33"/>
      <c r="H1148" s="34"/>
      <c r="I1148" s="42"/>
      <c r="J1148" s="43"/>
    </row>
    <row r="1149" ht="16" customHeight="1">
      <c r="A1149" t="s" s="26">
        <v>2638</v>
      </c>
      <c r="B1149" t="s" s="27">
        <v>41</v>
      </c>
      <c r="C1149" t="s" s="27">
        <v>42</v>
      </c>
      <c r="D1149" t="s" s="27">
        <v>2639</v>
      </c>
      <c r="E1149" t="s" s="27">
        <v>802</v>
      </c>
      <c r="F1149" t="s" s="27">
        <v>2174</v>
      </c>
      <c r="G1149" s="33"/>
      <c r="H1149" s="34"/>
      <c r="I1149" s="42"/>
      <c r="J1149" s="43"/>
    </row>
    <row r="1150" ht="16" customHeight="1">
      <c r="A1150" t="s" s="26">
        <v>2640</v>
      </c>
      <c r="B1150" t="s" s="27">
        <v>41</v>
      </c>
      <c r="C1150" s="35"/>
      <c r="D1150" t="s" s="27">
        <v>2641</v>
      </c>
      <c r="E1150" t="s" s="27">
        <v>805</v>
      </c>
      <c r="F1150" t="s" s="27">
        <v>2174</v>
      </c>
      <c r="G1150" s="33"/>
      <c r="H1150" s="34"/>
      <c r="I1150" s="42"/>
      <c r="J1150" s="43"/>
    </row>
    <row r="1151" ht="16" customHeight="1">
      <c r="A1151" t="s" s="26">
        <v>2642</v>
      </c>
      <c r="B1151" t="s" s="27">
        <v>41</v>
      </c>
      <c r="C1151" t="s" s="27">
        <v>838</v>
      </c>
      <c r="D1151" t="s" s="27">
        <v>2643</v>
      </c>
      <c r="E1151" t="s" s="27">
        <v>808</v>
      </c>
      <c r="F1151" t="s" s="27">
        <v>2174</v>
      </c>
      <c r="G1151" s="33"/>
      <c r="H1151" s="34"/>
      <c r="I1151" s="42"/>
      <c r="J1151" s="43"/>
    </row>
    <row r="1152" ht="16" customHeight="1">
      <c r="A1152" t="s" s="26">
        <v>2644</v>
      </c>
      <c r="B1152" t="s" s="27">
        <v>41</v>
      </c>
      <c r="C1152" t="s" s="27">
        <v>838</v>
      </c>
      <c r="D1152" t="s" s="27">
        <v>2645</v>
      </c>
      <c r="E1152" t="s" s="27">
        <v>811</v>
      </c>
      <c r="F1152" t="s" s="27">
        <v>2174</v>
      </c>
      <c r="G1152" s="33"/>
      <c r="H1152" s="34"/>
      <c r="I1152" s="42"/>
      <c r="J1152" s="43"/>
    </row>
    <row r="1153" ht="16" customHeight="1">
      <c r="A1153" t="s" s="26">
        <v>2646</v>
      </c>
      <c r="B1153" t="s" s="27">
        <v>41</v>
      </c>
      <c r="C1153" t="s" s="27">
        <v>423</v>
      </c>
      <c r="D1153" t="s" s="27">
        <v>2647</v>
      </c>
      <c r="E1153" t="s" s="27">
        <v>814</v>
      </c>
      <c r="F1153" t="s" s="27">
        <v>2174</v>
      </c>
      <c r="G1153" s="33"/>
      <c r="H1153" s="34"/>
      <c r="I1153" s="42"/>
      <c r="J1153" s="43"/>
    </row>
    <row r="1154" ht="16" customHeight="1">
      <c r="A1154" t="s" s="26">
        <v>2648</v>
      </c>
      <c r="B1154" t="s" s="27">
        <v>41</v>
      </c>
      <c r="C1154" t="s" s="27">
        <v>423</v>
      </c>
      <c r="D1154" t="s" s="27">
        <v>2649</v>
      </c>
      <c r="E1154" t="s" s="27">
        <v>817</v>
      </c>
      <c r="F1154" t="s" s="27">
        <v>2174</v>
      </c>
      <c r="G1154" s="33"/>
      <c r="H1154" s="34"/>
      <c r="I1154" s="42"/>
      <c r="J1154" s="43"/>
    </row>
    <row r="1155" ht="16" customHeight="1">
      <c r="A1155" t="s" s="26">
        <v>2650</v>
      </c>
      <c r="B1155" t="s" s="27">
        <v>41</v>
      </c>
      <c r="C1155" t="s" s="27">
        <v>42</v>
      </c>
      <c r="D1155" t="s" s="27">
        <v>2651</v>
      </c>
      <c r="E1155" t="s" s="27">
        <v>820</v>
      </c>
      <c r="F1155" t="s" s="27">
        <v>2174</v>
      </c>
      <c r="G1155" s="33"/>
      <c r="H1155" s="34"/>
      <c r="I1155" s="42"/>
      <c r="J1155" s="43"/>
    </row>
    <row r="1156" ht="16" customHeight="1">
      <c r="A1156" t="s" s="26">
        <v>2652</v>
      </c>
      <c r="B1156" t="s" s="27">
        <v>41</v>
      </c>
      <c r="C1156" t="s" s="27">
        <v>838</v>
      </c>
      <c r="D1156" t="s" s="27">
        <v>2653</v>
      </c>
      <c r="E1156" t="s" s="27">
        <v>823</v>
      </c>
      <c r="F1156" t="s" s="27">
        <v>2174</v>
      </c>
      <c r="G1156" s="33"/>
      <c r="H1156" s="34"/>
      <c r="I1156" s="42"/>
      <c r="J1156" s="43"/>
    </row>
    <row r="1157" ht="16" customHeight="1">
      <c r="A1157" t="s" s="26">
        <v>2654</v>
      </c>
      <c r="B1157" t="s" s="27">
        <v>41</v>
      </c>
      <c r="C1157" t="s" s="27">
        <v>42</v>
      </c>
      <c r="D1157" t="s" s="27">
        <v>2655</v>
      </c>
      <c r="E1157" t="s" s="27">
        <v>826</v>
      </c>
      <c r="F1157" t="s" s="27">
        <v>2174</v>
      </c>
      <c r="G1157" s="33"/>
      <c r="H1157" s="34"/>
      <c r="I1157" s="42"/>
      <c r="J1157" s="43"/>
    </row>
    <row r="1158" ht="16" customHeight="1">
      <c r="A1158" t="s" s="26">
        <v>2656</v>
      </c>
      <c r="B1158" t="s" s="27">
        <v>41</v>
      </c>
      <c r="C1158" t="s" s="27">
        <v>42</v>
      </c>
      <c r="D1158" t="s" s="27">
        <v>2657</v>
      </c>
      <c r="E1158" t="s" s="27">
        <v>829</v>
      </c>
      <c r="F1158" t="s" s="27">
        <v>2174</v>
      </c>
      <c r="G1158" s="33"/>
      <c r="H1158" s="34"/>
      <c r="I1158" s="42"/>
      <c r="J1158" s="43"/>
    </row>
    <row r="1159" ht="16" customHeight="1">
      <c r="A1159" t="s" s="26">
        <v>2658</v>
      </c>
      <c r="B1159" t="s" s="27">
        <v>41</v>
      </c>
      <c r="C1159" t="s" s="27">
        <v>42</v>
      </c>
      <c r="D1159" t="s" s="27">
        <v>2659</v>
      </c>
      <c r="E1159" t="s" s="27">
        <v>832</v>
      </c>
      <c r="F1159" t="s" s="27">
        <v>2174</v>
      </c>
      <c r="G1159" s="33"/>
      <c r="H1159" s="34"/>
      <c r="I1159" s="42"/>
      <c r="J1159" s="43"/>
    </row>
    <row r="1160" ht="16" customHeight="1">
      <c r="A1160" t="s" s="44">
        <v>2660</v>
      </c>
      <c r="B1160" t="s" s="45">
        <v>2661</v>
      </c>
      <c r="C1160" t="s" s="27">
        <v>2662</v>
      </c>
      <c r="D1160" t="s" s="27">
        <v>2663</v>
      </c>
      <c r="E1160" t="s" s="27">
        <v>2664</v>
      </c>
      <c r="F1160" t="s" s="46">
        <v>2665</v>
      </c>
      <c r="G1160" s="47"/>
      <c r="H1160" s="34"/>
      <c r="I1160" s="42"/>
      <c r="J1160" s="43"/>
    </row>
    <row r="1161" ht="16" customHeight="1">
      <c r="A1161" t="s" s="44">
        <v>2666</v>
      </c>
      <c r="B1161" t="s" s="45">
        <v>2661</v>
      </c>
      <c r="C1161" t="s" s="27">
        <v>2667</v>
      </c>
      <c r="D1161" t="s" s="27">
        <v>2668</v>
      </c>
      <c r="E1161" t="s" s="27">
        <v>2669</v>
      </c>
      <c r="F1161" t="s" s="46">
        <v>2665</v>
      </c>
      <c r="G1161" s="47"/>
      <c r="H1161" s="34"/>
      <c r="I1161" s="42"/>
      <c r="J1161" s="43"/>
    </row>
    <row r="1162" ht="16" customHeight="1">
      <c r="A1162" t="s" s="44">
        <v>2670</v>
      </c>
      <c r="B1162" t="s" s="45">
        <v>2661</v>
      </c>
      <c r="C1162" t="s" s="27">
        <v>2662</v>
      </c>
      <c r="D1162" t="s" s="27">
        <v>2671</v>
      </c>
      <c r="E1162" t="s" s="27">
        <v>2672</v>
      </c>
      <c r="F1162" t="s" s="46">
        <v>2665</v>
      </c>
      <c r="G1162" s="47"/>
      <c r="H1162" s="34"/>
      <c r="I1162" s="42"/>
      <c r="J1162" s="43"/>
    </row>
    <row r="1163" ht="16" customHeight="1">
      <c r="A1163" t="s" s="44">
        <v>2673</v>
      </c>
      <c r="B1163" t="s" s="45">
        <v>2661</v>
      </c>
      <c r="C1163" t="s" s="27">
        <v>2674</v>
      </c>
      <c r="D1163" t="s" s="27">
        <v>2675</v>
      </c>
      <c r="E1163" t="s" s="27">
        <v>2676</v>
      </c>
      <c r="F1163" t="s" s="46">
        <v>2665</v>
      </c>
      <c r="G1163" s="47"/>
      <c r="H1163" s="34"/>
      <c r="I1163" s="42"/>
      <c r="J1163" s="43"/>
    </row>
    <row r="1164" ht="16" customHeight="1">
      <c r="A1164" t="s" s="44">
        <v>2677</v>
      </c>
      <c r="B1164" t="s" s="45">
        <v>2661</v>
      </c>
      <c r="C1164" t="s" s="27">
        <v>2674</v>
      </c>
      <c r="D1164" t="s" s="27">
        <v>2678</v>
      </c>
      <c r="E1164" t="s" s="27">
        <v>2679</v>
      </c>
      <c r="F1164" t="s" s="46">
        <v>2665</v>
      </c>
      <c r="G1164" s="47"/>
      <c r="H1164" s="34"/>
      <c r="I1164" s="42"/>
      <c r="J1164" s="43"/>
    </row>
    <row r="1165" ht="16" customHeight="1">
      <c r="A1165" t="s" s="44">
        <v>2680</v>
      </c>
      <c r="B1165" t="s" s="45">
        <v>2661</v>
      </c>
      <c r="C1165" t="s" s="27">
        <v>2667</v>
      </c>
      <c r="D1165" t="s" s="27">
        <v>2681</v>
      </c>
      <c r="E1165" t="s" s="27">
        <v>2682</v>
      </c>
      <c r="F1165" t="s" s="46">
        <v>2665</v>
      </c>
      <c r="G1165" s="47"/>
      <c r="H1165" s="34"/>
      <c r="I1165" s="42"/>
      <c r="J1165" s="43"/>
    </row>
    <row r="1166" ht="16" customHeight="1">
      <c r="A1166" t="s" s="44">
        <v>2683</v>
      </c>
      <c r="B1166" t="s" s="45">
        <v>2661</v>
      </c>
      <c r="C1166" t="s" s="27">
        <v>2667</v>
      </c>
      <c r="D1166" t="s" s="27">
        <v>2684</v>
      </c>
      <c r="E1166" t="s" s="27">
        <v>2685</v>
      </c>
      <c r="F1166" t="s" s="46">
        <v>2665</v>
      </c>
      <c r="G1166" s="47"/>
      <c r="H1166" s="34"/>
      <c r="I1166" s="42"/>
      <c r="J1166" s="43"/>
    </row>
    <row r="1167" ht="16" customHeight="1">
      <c r="A1167" t="s" s="44">
        <v>2686</v>
      </c>
      <c r="B1167" t="s" s="45">
        <v>2661</v>
      </c>
      <c r="C1167" t="s" s="27">
        <v>2667</v>
      </c>
      <c r="D1167" t="s" s="27">
        <v>2687</v>
      </c>
      <c r="E1167" t="s" s="27">
        <v>2688</v>
      </c>
      <c r="F1167" t="s" s="46">
        <v>2665</v>
      </c>
      <c r="G1167" s="47"/>
      <c r="H1167" s="34"/>
      <c r="I1167" s="42"/>
      <c r="J1167" s="43"/>
    </row>
    <row r="1168" ht="16" customHeight="1">
      <c r="A1168" t="s" s="44">
        <v>2689</v>
      </c>
      <c r="B1168" t="s" s="45">
        <v>2661</v>
      </c>
      <c r="C1168" t="s" s="27">
        <v>2667</v>
      </c>
      <c r="D1168" t="s" s="27">
        <v>2690</v>
      </c>
      <c r="E1168" t="s" s="27">
        <v>2691</v>
      </c>
      <c r="F1168" t="s" s="46">
        <v>2665</v>
      </c>
      <c r="G1168" s="47"/>
      <c r="H1168" s="34"/>
      <c r="I1168" s="42"/>
      <c r="J1168" s="43"/>
    </row>
    <row r="1169" ht="16" customHeight="1">
      <c r="A1169" t="s" s="44">
        <v>2692</v>
      </c>
      <c r="B1169" t="s" s="45">
        <v>2661</v>
      </c>
      <c r="C1169" t="s" s="27">
        <v>2667</v>
      </c>
      <c r="D1169" t="s" s="27">
        <v>2693</v>
      </c>
      <c r="E1169" t="s" s="27">
        <v>2694</v>
      </c>
      <c r="F1169" t="s" s="46">
        <v>2665</v>
      </c>
      <c r="G1169" s="47"/>
      <c r="H1169" s="34"/>
      <c r="I1169" s="42"/>
      <c r="J1169" s="43"/>
    </row>
    <row r="1170" ht="16" customHeight="1">
      <c r="A1170" t="s" s="44">
        <v>2695</v>
      </c>
      <c r="B1170" t="s" s="45">
        <v>2661</v>
      </c>
      <c r="C1170" t="s" s="27">
        <v>2667</v>
      </c>
      <c r="D1170" t="s" s="27">
        <v>2696</v>
      </c>
      <c r="E1170" t="s" s="27">
        <v>2697</v>
      </c>
      <c r="F1170" t="s" s="46">
        <v>2665</v>
      </c>
      <c r="G1170" s="47"/>
      <c r="H1170" s="34"/>
      <c r="I1170" s="42"/>
      <c r="J1170" s="43"/>
    </row>
    <row r="1171" ht="16" customHeight="1">
      <c r="A1171" t="s" s="44">
        <v>2698</v>
      </c>
      <c r="B1171" t="s" s="45">
        <v>2661</v>
      </c>
      <c r="C1171" t="s" s="27">
        <v>2674</v>
      </c>
      <c r="D1171" t="s" s="27">
        <v>2699</v>
      </c>
      <c r="E1171" t="s" s="27">
        <v>2700</v>
      </c>
      <c r="F1171" t="s" s="46">
        <v>2665</v>
      </c>
      <c r="G1171" s="47"/>
      <c r="H1171" s="34"/>
      <c r="I1171" s="42"/>
      <c r="J1171" s="43"/>
    </row>
    <row r="1172" ht="16" customHeight="1">
      <c r="A1172" t="s" s="44">
        <v>2701</v>
      </c>
      <c r="B1172" t="s" s="45">
        <v>2661</v>
      </c>
      <c r="C1172" t="s" s="27">
        <v>2674</v>
      </c>
      <c r="D1172" t="s" s="27">
        <v>2702</v>
      </c>
      <c r="E1172" t="s" s="27">
        <v>2703</v>
      </c>
      <c r="F1172" t="s" s="46">
        <v>2665</v>
      </c>
      <c r="G1172" s="47"/>
      <c r="H1172" s="34"/>
      <c r="I1172" s="42"/>
      <c r="J1172" s="43"/>
    </row>
    <row r="1173" ht="16" customHeight="1">
      <c r="A1173" t="s" s="44">
        <v>2704</v>
      </c>
      <c r="B1173" t="s" s="45">
        <v>2661</v>
      </c>
      <c r="C1173" t="s" s="27">
        <v>2674</v>
      </c>
      <c r="D1173" t="s" s="27">
        <v>2705</v>
      </c>
      <c r="E1173" t="s" s="27">
        <v>2706</v>
      </c>
      <c r="F1173" t="s" s="46">
        <v>2665</v>
      </c>
      <c r="G1173" s="47"/>
      <c r="H1173" s="34"/>
      <c r="I1173" s="42"/>
      <c r="J1173" s="43"/>
    </row>
    <row r="1174" ht="16" customHeight="1">
      <c r="A1174" t="s" s="44">
        <v>2707</v>
      </c>
      <c r="B1174" t="s" s="45">
        <v>2661</v>
      </c>
      <c r="C1174" t="s" s="27">
        <v>2667</v>
      </c>
      <c r="D1174" t="s" s="27">
        <v>2708</v>
      </c>
      <c r="E1174" t="s" s="27">
        <v>2709</v>
      </c>
      <c r="F1174" t="s" s="46">
        <v>2665</v>
      </c>
      <c r="G1174" s="47"/>
      <c r="H1174" s="34"/>
      <c r="I1174" s="42"/>
      <c r="J1174" s="43"/>
    </row>
    <row r="1175" ht="16" customHeight="1">
      <c r="A1175" t="s" s="44">
        <v>2710</v>
      </c>
      <c r="B1175" t="s" s="45">
        <v>2661</v>
      </c>
      <c r="C1175" t="s" s="27">
        <v>2667</v>
      </c>
      <c r="D1175" t="s" s="27">
        <v>2711</v>
      </c>
      <c r="E1175" t="s" s="27">
        <v>2712</v>
      </c>
      <c r="F1175" t="s" s="46">
        <v>2665</v>
      </c>
      <c r="G1175" s="47"/>
      <c r="H1175" s="34"/>
      <c r="I1175" s="42"/>
      <c r="J1175" s="43"/>
    </row>
    <row r="1176" ht="16" customHeight="1">
      <c r="A1176" t="s" s="44">
        <v>2713</v>
      </c>
      <c r="B1176" t="s" s="45">
        <v>2661</v>
      </c>
      <c r="C1176" t="s" s="27">
        <v>2714</v>
      </c>
      <c r="D1176" t="s" s="27">
        <v>2715</v>
      </c>
      <c r="E1176" t="s" s="27">
        <v>551</v>
      </c>
      <c r="F1176" t="s" s="46">
        <v>2665</v>
      </c>
      <c r="G1176" s="47"/>
      <c r="H1176" s="34"/>
      <c r="I1176" s="42"/>
      <c r="J1176" s="43"/>
    </row>
    <row r="1177" ht="16" customHeight="1">
      <c r="A1177" t="s" s="44">
        <v>2716</v>
      </c>
      <c r="B1177" t="s" s="45">
        <v>2661</v>
      </c>
      <c r="C1177" t="s" s="27">
        <v>2667</v>
      </c>
      <c r="D1177" t="s" s="27">
        <v>2717</v>
      </c>
      <c r="E1177" t="s" s="27">
        <v>563</v>
      </c>
      <c r="F1177" t="s" s="46">
        <v>2665</v>
      </c>
      <c r="G1177" s="47"/>
      <c r="H1177" s="34"/>
      <c r="I1177" s="42"/>
      <c r="J1177" s="43"/>
    </row>
    <row r="1178" ht="16" customHeight="1">
      <c r="A1178" t="s" s="44">
        <v>2718</v>
      </c>
      <c r="B1178" t="s" s="45">
        <v>2661</v>
      </c>
      <c r="C1178" t="s" s="27">
        <v>2667</v>
      </c>
      <c r="D1178" t="s" s="27">
        <v>2719</v>
      </c>
      <c r="E1178" t="s" s="27">
        <v>2720</v>
      </c>
      <c r="F1178" t="s" s="46">
        <v>2665</v>
      </c>
      <c r="G1178" s="47"/>
      <c r="H1178" s="34"/>
      <c r="I1178" s="42"/>
      <c r="J1178" s="43"/>
    </row>
    <row r="1179" ht="16" customHeight="1">
      <c r="A1179" t="s" s="44">
        <v>2721</v>
      </c>
      <c r="B1179" t="s" s="45">
        <v>2661</v>
      </c>
      <c r="C1179" t="s" s="27">
        <v>2667</v>
      </c>
      <c r="D1179" t="s" s="27">
        <v>2722</v>
      </c>
      <c r="E1179" t="s" s="27">
        <v>2723</v>
      </c>
      <c r="F1179" t="s" s="46">
        <v>2665</v>
      </c>
      <c r="G1179" s="47"/>
      <c r="H1179" s="34"/>
      <c r="I1179" s="42"/>
      <c r="J1179" s="43"/>
    </row>
    <row r="1180" ht="16" customHeight="1">
      <c r="A1180" t="s" s="44">
        <v>2724</v>
      </c>
      <c r="B1180" t="s" s="45">
        <v>2661</v>
      </c>
      <c r="C1180" t="s" s="27">
        <v>2674</v>
      </c>
      <c r="D1180" t="s" s="27">
        <v>2725</v>
      </c>
      <c r="E1180" t="s" s="27">
        <v>2726</v>
      </c>
      <c r="F1180" t="s" s="46">
        <v>2665</v>
      </c>
      <c r="G1180" s="47"/>
      <c r="H1180" s="34"/>
      <c r="I1180" s="42"/>
      <c r="J1180" s="43"/>
    </row>
    <row r="1181" ht="16" customHeight="1">
      <c r="A1181" t="s" s="44">
        <v>2727</v>
      </c>
      <c r="B1181" t="s" s="45">
        <v>2661</v>
      </c>
      <c r="C1181" t="s" s="27">
        <v>2667</v>
      </c>
      <c r="D1181" t="s" s="27">
        <v>2728</v>
      </c>
      <c r="E1181" t="s" s="27">
        <v>2729</v>
      </c>
      <c r="F1181" t="s" s="46">
        <v>2665</v>
      </c>
      <c r="G1181" s="47"/>
      <c r="H1181" s="34"/>
      <c r="I1181" s="42"/>
      <c r="J1181" s="43"/>
    </row>
    <row r="1182" ht="16" customHeight="1">
      <c r="A1182" t="s" s="44">
        <v>2730</v>
      </c>
      <c r="B1182" t="s" s="45">
        <v>2661</v>
      </c>
      <c r="C1182" t="s" s="27">
        <v>2674</v>
      </c>
      <c r="D1182" t="s" s="27">
        <v>2731</v>
      </c>
      <c r="E1182" t="s" s="27">
        <v>2732</v>
      </c>
      <c r="F1182" t="s" s="46">
        <v>2665</v>
      </c>
      <c r="G1182" s="47"/>
      <c r="H1182" s="34"/>
      <c r="I1182" s="42"/>
      <c r="J1182" s="43"/>
    </row>
    <row r="1183" ht="16" customHeight="1">
      <c r="A1183" t="s" s="44">
        <v>2733</v>
      </c>
      <c r="B1183" t="s" s="45">
        <v>2661</v>
      </c>
      <c r="C1183" t="s" s="27">
        <v>2662</v>
      </c>
      <c r="D1183" t="s" s="27">
        <v>2734</v>
      </c>
      <c r="E1183" t="s" s="27">
        <v>2735</v>
      </c>
      <c r="F1183" t="s" s="46">
        <v>2736</v>
      </c>
      <c r="G1183" s="47"/>
      <c r="H1183" s="34"/>
      <c r="I1183" s="42"/>
      <c r="J1183" s="43"/>
    </row>
    <row r="1184" ht="16" customHeight="1">
      <c r="A1184" t="s" s="44">
        <v>2737</v>
      </c>
      <c r="B1184" t="s" s="45">
        <v>2661</v>
      </c>
      <c r="C1184" t="s" s="27">
        <v>2714</v>
      </c>
      <c r="D1184" t="s" s="27">
        <v>2738</v>
      </c>
      <c r="E1184" t="s" s="27">
        <v>2739</v>
      </c>
      <c r="F1184" t="s" s="46">
        <v>2736</v>
      </c>
      <c r="G1184" s="47"/>
      <c r="H1184" s="34"/>
      <c r="I1184" s="42"/>
      <c r="J1184" s="43"/>
    </row>
    <row r="1185" ht="16" customHeight="1">
      <c r="A1185" t="s" s="44">
        <v>2740</v>
      </c>
      <c r="B1185" t="s" s="45">
        <v>2661</v>
      </c>
      <c r="C1185" t="s" s="27">
        <v>2674</v>
      </c>
      <c r="D1185" t="s" s="27">
        <v>2741</v>
      </c>
      <c r="E1185" t="s" s="27">
        <v>2742</v>
      </c>
      <c r="F1185" t="s" s="46">
        <v>2736</v>
      </c>
      <c r="G1185" s="47"/>
      <c r="H1185" s="34"/>
      <c r="I1185" s="42"/>
      <c r="J1185" s="43"/>
    </row>
    <row r="1186" ht="16" customHeight="1">
      <c r="A1186" t="s" s="44">
        <v>2743</v>
      </c>
      <c r="B1186" t="s" s="45">
        <v>2661</v>
      </c>
      <c r="C1186" t="s" s="27">
        <v>2714</v>
      </c>
      <c r="D1186" t="s" s="27">
        <v>2744</v>
      </c>
      <c r="E1186" t="s" s="27">
        <v>2745</v>
      </c>
      <c r="F1186" t="s" s="46">
        <v>2736</v>
      </c>
      <c r="G1186" s="47"/>
      <c r="H1186" s="34"/>
      <c r="I1186" s="42"/>
      <c r="J1186" s="43"/>
    </row>
    <row r="1187" ht="16" customHeight="1">
      <c r="A1187" t="s" s="44">
        <v>2746</v>
      </c>
      <c r="B1187" t="s" s="45">
        <v>2661</v>
      </c>
      <c r="C1187" t="s" s="27">
        <v>2747</v>
      </c>
      <c r="D1187" t="s" s="27">
        <v>2748</v>
      </c>
      <c r="E1187" t="s" s="27">
        <v>2749</v>
      </c>
      <c r="F1187" t="s" s="46">
        <v>2736</v>
      </c>
      <c r="G1187" s="47"/>
      <c r="H1187" s="34"/>
      <c r="I1187" s="42"/>
      <c r="J1187" s="43"/>
    </row>
    <row r="1188" ht="16" customHeight="1">
      <c r="A1188" t="s" s="44">
        <v>2750</v>
      </c>
      <c r="B1188" t="s" s="45">
        <v>2661</v>
      </c>
      <c r="C1188" t="s" s="27">
        <v>2751</v>
      </c>
      <c r="D1188" t="s" s="27">
        <v>2752</v>
      </c>
      <c r="E1188" t="s" s="27">
        <v>2753</v>
      </c>
      <c r="F1188" t="s" s="46">
        <v>2736</v>
      </c>
      <c r="G1188" s="47"/>
      <c r="H1188" s="34"/>
      <c r="I1188" s="42"/>
      <c r="J1188" s="43"/>
    </row>
    <row r="1189" ht="16" customHeight="1">
      <c r="A1189" t="s" s="44">
        <v>2754</v>
      </c>
      <c r="B1189" t="s" s="45">
        <v>2661</v>
      </c>
      <c r="C1189" t="s" s="27">
        <v>2714</v>
      </c>
      <c r="D1189" t="s" s="27">
        <v>2755</v>
      </c>
      <c r="E1189" t="s" s="27">
        <v>2756</v>
      </c>
      <c r="F1189" t="s" s="46">
        <v>2736</v>
      </c>
      <c r="G1189" s="47"/>
      <c r="H1189" s="34"/>
      <c r="I1189" s="42"/>
      <c r="J1189" s="43"/>
    </row>
    <row r="1190" ht="16" customHeight="1">
      <c r="A1190" t="s" s="44">
        <v>2757</v>
      </c>
      <c r="B1190" t="s" s="45">
        <v>2661</v>
      </c>
      <c r="C1190" t="s" s="27">
        <v>2714</v>
      </c>
      <c r="D1190" t="s" s="27">
        <v>2758</v>
      </c>
      <c r="E1190" t="s" s="27">
        <v>333</v>
      </c>
      <c r="F1190" t="s" s="46">
        <v>2736</v>
      </c>
      <c r="G1190" s="47"/>
      <c r="H1190" s="34"/>
      <c r="I1190" s="42"/>
      <c r="J1190" s="43"/>
    </row>
    <row r="1191" ht="16" customHeight="1">
      <c r="A1191" t="s" s="44">
        <v>2759</v>
      </c>
      <c r="B1191" t="s" s="45">
        <v>2661</v>
      </c>
      <c r="C1191" t="s" s="27">
        <v>2714</v>
      </c>
      <c r="D1191" t="s" s="27">
        <v>2760</v>
      </c>
      <c r="E1191" t="s" s="27">
        <v>342</v>
      </c>
      <c r="F1191" t="s" s="46">
        <v>2736</v>
      </c>
      <c r="G1191" s="47"/>
      <c r="H1191" s="34"/>
      <c r="I1191" s="42"/>
      <c r="J1191" s="43"/>
    </row>
    <row r="1192" ht="16" customHeight="1">
      <c r="A1192" t="s" s="44">
        <v>2761</v>
      </c>
      <c r="B1192" t="s" s="45">
        <v>2661</v>
      </c>
      <c r="C1192" t="s" s="27">
        <v>2714</v>
      </c>
      <c r="D1192" t="s" s="27">
        <v>2762</v>
      </c>
      <c r="E1192" t="s" s="27">
        <v>351</v>
      </c>
      <c r="F1192" t="s" s="46">
        <v>2736</v>
      </c>
      <c r="G1192" s="47"/>
      <c r="H1192" s="34"/>
      <c r="I1192" s="42"/>
      <c r="J1192" s="43"/>
    </row>
    <row r="1193" ht="16" customHeight="1">
      <c r="A1193" t="s" s="44">
        <v>2763</v>
      </c>
      <c r="B1193" t="s" s="45">
        <v>2661</v>
      </c>
      <c r="C1193" t="s" s="27">
        <v>2714</v>
      </c>
      <c r="D1193" t="s" s="27">
        <v>2764</v>
      </c>
      <c r="E1193" t="s" s="27">
        <v>2765</v>
      </c>
      <c r="F1193" t="s" s="46">
        <v>2736</v>
      </c>
      <c r="G1193" s="47"/>
      <c r="H1193" s="34"/>
      <c r="I1193" s="42"/>
      <c r="J1193" s="43"/>
    </row>
    <row r="1194" ht="16" customHeight="1">
      <c r="A1194" t="s" s="44">
        <v>2766</v>
      </c>
      <c r="B1194" t="s" s="45">
        <v>2661</v>
      </c>
      <c r="C1194" t="s" s="27">
        <v>2714</v>
      </c>
      <c r="D1194" t="s" s="27">
        <v>2767</v>
      </c>
      <c r="E1194" t="s" s="27">
        <v>2688</v>
      </c>
      <c r="F1194" t="s" s="46">
        <v>2736</v>
      </c>
      <c r="G1194" s="47"/>
      <c r="H1194" s="34"/>
      <c r="I1194" s="42"/>
      <c r="J1194" s="43"/>
    </row>
    <row r="1195" ht="16" customHeight="1">
      <c r="A1195" t="s" s="44">
        <v>2768</v>
      </c>
      <c r="B1195" t="s" s="45">
        <v>2661</v>
      </c>
      <c r="C1195" t="s" s="27">
        <v>2667</v>
      </c>
      <c r="D1195" t="s" s="27">
        <v>2769</v>
      </c>
      <c r="E1195" t="s" s="27">
        <v>2770</v>
      </c>
      <c r="F1195" t="s" s="46">
        <v>2736</v>
      </c>
      <c r="G1195" s="47"/>
      <c r="H1195" s="34"/>
      <c r="I1195" s="42"/>
      <c r="J1195" s="43"/>
    </row>
    <row r="1196" ht="16" customHeight="1">
      <c r="A1196" t="s" s="44">
        <v>2771</v>
      </c>
      <c r="B1196" t="s" s="45">
        <v>2661</v>
      </c>
      <c r="C1196" t="s" s="27">
        <v>2747</v>
      </c>
      <c r="D1196" t="s" s="27">
        <v>2772</v>
      </c>
      <c r="E1196" t="s" s="27">
        <v>2773</v>
      </c>
      <c r="F1196" t="s" s="46">
        <v>2736</v>
      </c>
      <c r="G1196" s="47"/>
      <c r="H1196" s="34"/>
      <c r="I1196" s="42"/>
      <c r="J1196" s="43"/>
    </row>
    <row r="1197" ht="16" customHeight="1">
      <c r="A1197" t="s" s="44">
        <v>2774</v>
      </c>
      <c r="B1197" t="s" s="45">
        <v>2661</v>
      </c>
      <c r="C1197" t="s" s="27">
        <v>2751</v>
      </c>
      <c r="D1197" t="s" s="27">
        <v>2775</v>
      </c>
      <c r="E1197" t="s" s="27">
        <v>2776</v>
      </c>
      <c r="F1197" t="s" s="46">
        <v>2736</v>
      </c>
      <c r="G1197" s="47"/>
      <c r="H1197" s="34"/>
      <c r="I1197" s="42"/>
      <c r="J1197" s="43"/>
    </row>
    <row r="1198" ht="16" customHeight="1">
      <c r="A1198" t="s" s="44">
        <v>2777</v>
      </c>
      <c r="B1198" t="s" s="45">
        <v>2661</v>
      </c>
      <c r="C1198" t="s" s="27">
        <v>2747</v>
      </c>
      <c r="D1198" t="s" s="27">
        <v>2778</v>
      </c>
      <c r="E1198" t="s" s="27">
        <v>2779</v>
      </c>
      <c r="F1198" t="s" s="46">
        <v>2736</v>
      </c>
      <c r="G1198" s="47"/>
      <c r="H1198" s="34"/>
      <c r="I1198" s="42"/>
      <c r="J1198" s="43"/>
    </row>
    <row r="1199" ht="16" customHeight="1">
      <c r="A1199" t="s" s="44">
        <v>2780</v>
      </c>
      <c r="B1199" t="s" s="45">
        <v>2661</v>
      </c>
      <c r="C1199" t="s" s="27">
        <v>2662</v>
      </c>
      <c r="D1199" t="s" s="27">
        <v>2781</v>
      </c>
      <c r="E1199" t="s" s="27">
        <v>2782</v>
      </c>
      <c r="F1199" t="s" s="46">
        <v>2736</v>
      </c>
      <c r="G1199" s="47"/>
      <c r="H1199" s="34"/>
      <c r="I1199" s="42"/>
      <c r="J1199" s="43"/>
    </row>
    <row r="1200" ht="16" customHeight="1">
      <c r="A1200" t="s" s="44">
        <v>2783</v>
      </c>
      <c r="B1200" t="s" s="45">
        <v>2661</v>
      </c>
      <c r="C1200" t="s" s="27">
        <v>2747</v>
      </c>
      <c r="D1200" t="s" s="27">
        <v>2784</v>
      </c>
      <c r="E1200" t="s" s="27">
        <v>2785</v>
      </c>
      <c r="F1200" t="s" s="46">
        <v>2786</v>
      </c>
      <c r="G1200" s="47"/>
      <c r="H1200" s="34"/>
      <c r="I1200" s="42"/>
      <c r="J1200" s="43"/>
    </row>
    <row r="1201" ht="16" customHeight="1">
      <c r="A1201" t="s" s="44">
        <v>2787</v>
      </c>
      <c r="B1201" t="s" s="45">
        <v>2661</v>
      </c>
      <c r="C1201" t="s" s="27">
        <v>2747</v>
      </c>
      <c r="D1201" t="s" s="27">
        <v>2788</v>
      </c>
      <c r="E1201" t="s" s="27">
        <v>2789</v>
      </c>
      <c r="F1201" t="s" s="46">
        <v>2786</v>
      </c>
      <c r="G1201" s="47"/>
      <c r="H1201" s="34"/>
      <c r="I1201" s="42"/>
      <c r="J1201" s="43"/>
    </row>
    <row r="1202" ht="16" customHeight="1">
      <c r="A1202" t="s" s="44">
        <v>2790</v>
      </c>
      <c r="B1202" t="s" s="45">
        <v>2661</v>
      </c>
      <c r="C1202" t="s" s="27">
        <v>2747</v>
      </c>
      <c r="D1202" t="s" s="27">
        <v>2791</v>
      </c>
      <c r="E1202" t="s" s="27">
        <v>2792</v>
      </c>
      <c r="F1202" t="s" s="46">
        <v>2786</v>
      </c>
      <c r="G1202" s="47"/>
      <c r="H1202" s="34"/>
      <c r="I1202" s="42"/>
      <c r="J1202" s="43"/>
    </row>
    <row r="1203" ht="16" customHeight="1">
      <c r="A1203" t="s" s="44">
        <v>2793</v>
      </c>
      <c r="B1203" t="s" s="45">
        <v>2661</v>
      </c>
      <c r="C1203" s="35"/>
      <c r="D1203" t="s" s="27">
        <v>2794</v>
      </c>
      <c r="E1203" t="s" s="27">
        <v>2795</v>
      </c>
      <c r="F1203" t="s" s="46">
        <v>2786</v>
      </c>
      <c r="G1203" s="47"/>
      <c r="H1203" s="34"/>
      <c r="I1203" s="42"/>
      <c r="J1203" s="43"/>
    </row>
    <row r="1204" ht="16" customHeight="1">
      <c r="A1204" t="s" s="44">
        <v>2796</v>
      </c>
      <c r="B1204" t="s" s="45">
        <v>2661</v>
      </c>
      <c r="C1204" t="s" s="27">
        <v>2714</v>
      </c>
      <c r="D1204" t="s" s="27">
        <v>2797</v>
      </c>
      <c r="E1204" t="s" s="27">
        <v>2685</v>
      </c>
      <c r="F1204" t="s" s="46">
        <v>2786</v>
      </c>
      <c r="G1204" s="47"/>
      <c r="H1204" s="34"/>
      <c r="I1204" s="42"/>
      <c r="J1204" s="43"/>
    </row>
    <row r="1205" ht="16" customHeight="1">
      <c r="A1205" t="s" s="44">
        <v>2798</v>
      </c>
      <c r="B1205" t="s" s="45">
        <v>2661</v>
      </c>
      <c r="C1205" t="s" s="27">
        <v>2714</v>
      </c>
      <c r="D1205" t="s" s="27">
        <v>2799</v>
      </c>
      <c r="E1205" t="s" s="27">
        <v>2800</v>
      </c>
      <c r="F1205" t="s" s="46">
        <v>2786</v>
      </c>
      <c r="G1205" s="47"/>
      <c r="H1205" s="34"/>
      <c r="I1205" s="42"/>
      <c r="J1205" s="43"/>
    </row>
    <row r="1206" ht="16" customHeight="1">
      <c r="A1206" t="s" s="44">
        <v>2801</v>
      </c>
      <c r="B1206" t="s" s="45">
        <v>2661</v>
      </c>
      <c r="C1206" t="s" s="27">
        <v>2714</v>
      </c>
      <c r="D1206" t="s" s="27">
        <v>2802</v>
      </c>
      <c r="E1206" t="s" s="27">
        <v>2803</v>
      </c>
      <c r="F1206" t="s" s="46">
        <v>2786</v>
      </c>
      <c r="G1206" s="47"/>
      <c r="H1206" s="34"/>
      <c r="I1206" s="42"/>
      <c r="J1206" s="43"/>
    </row>
    <row r="1207" ht="16" customHeight="1">
      <c r="A1207" t="s" s="44">
        <v>2804</v>
      </c>
      <c r="B1207" t="s" s="45">
        <v>2661</v>
      </c>
      <c r="C1207" t="s" s="27">
        <v>2714</v>
      </c>
      <c r="D1207" t="s" s="27">
        <v>2805</v>
      </c>
      <c r="E1207" t="s" s="27">
        <v>2806</v>
      </c>
      <c r="F1207" t="s" s="46">
        <v>2786</v>
      </c>
      <c r="G1207" s="47"/>
      <c r="H1207" s="34"/>
      <c r="I1207" s="42"/>
      <c r="J1207" s="43"/>
    </row>
    <row r="1208" ht="16" customHeight="1">
      <c r="A1208" t="s" s="44">
        <v>2807</v>
      </c>
      <c r="B1208" t="s" s="45">
        <v>2661</v>
      </c>
      <c r="C1208" t="s" s="27">
        <v>2667</v>
      </c>
      <c r="D1208" t="s" s="27">
        <v>2808</v>
      </c>
      <c r="E1208" t="s" s="27">
        <v>2809</v>
      </c>
      <c r="F1208" t="s" s="46">
        <v>2786</v>
      </c>
      <c r="G1208" s="47"/>
      <c r="H1208" s="34"/>
      <c r="I1208" s="42"/>
      <c r="J1208" s="43"/>
    </row>
    <row r="1209" ht="16" customHeight="1">
      <c r="A1209" t="s" s="44">
        <v>2810</v>
      </c>
      <c r="B1209" t="s" s="45">
        <v>2661</v>
      </c>
      <c r="C1209" t="s" s="27">
        <v>2667</v>
      </c>
      <c r="D1209" t="s" s="27">
        <v>2811</v>
      </c>
      <c r="E1209" t="s" s="27">
        <v>2812</v>
      </c>
      <c r="F1209" t="s" s="46">
        <v>2786</v>
      </c>
      <c r="G1209" s="47"/>
      <c r="H1209" s="34"/>
      <c r="I1209" s="42"/>
      <c r="J1209" s="43"/>
    </row>
    <row r="1210" ht="16" customHeight="1">
      <c r="A1210" t="s" s="44">
        <v>2813</v>
      </c>
      <c r="B1210" t="s" s="45">
        <v>2661</v>
      </c>
      <c r="C1210" s="35"/>
      <c r="D1210" t="s" s="27">
        <v>2814</v>
      </c>
      <c r="E1210" t="s" s="27">
        <v>2697</v>
      </c>
      <c r="F1210" t="s" s="46">
        <v>2786</v>
      </c>
      <c r="G1210" s="47"/>
      <c r="H1210" s="34"/>
      <c r="I1210" s="42"/>
      <c r="J1210" s="43"/>
    </row>
    <row r="1211" ht="16" customHeight="1">
      <c r="A1211" t="s" s="44">
        <v>2815</v>
      </c>
      <c r="B1211" t="s" s="45">
        <v>2661</v>
      </c>
      <c r="C1211" t="s" s="27">
        <v>2816</v>
      </c>
      <c r="D1211" t="s" s="27">
        <v>2817</v>
      </c>
      <c r="E1211" t="s" s="27">
        <v>2818</v>
      </c>
      <c r="F1211" t="s" s="46">
        <v>2786</v>
      </c>
      <c r="G1211" s="47"/>
      <c r="H1211" s="34"/>
      <c r="I1211" s="42"/>
      <c r="J1211" s="43"/>
    </row>
    <row r="1212" ht="16" customHeight="1">
      <c r="A1212" t="s" s="44">
        <v>2819</v>
      </c>
      <c r="B1212" t="s" s="45">
        <v>2661</v>
      </c>
      <c r="C1212" t="s" s="27">
        <v>2662</v>
      </c>
      <c r="D1212" t="s" s="27">
        <v>2820</v>
      </c>
      <c r="E1212" t="s" s="27">
        <v>2821</v>
      </c>
      <c r="F1212" t="s" s="46">
        <v>2786</v>
      </c>
      <c r="G1212" s="47"/>
      <c r="H1212" s="34"/>
      <c r="I1212" s="42"/>
      <c r="J1212" s="43"/>
    </row>
    <row r="1213" ht="16" customHeight="1">
      <c r="A1213" t="s" s="44">
        <v>2822</v>
      </c>
      <c r="B1213" t="s" s="45">
        <v>2661</v>
      </c>
      <c r="C1213" t="s" s="27">
        <v>2674</v>
      </c>
      <c r="D1213" t="s" s="27">
        <v>2823</v>
      </c>
      <c r="E1213" t="s" s="27">
        <v>2824</v>
      </c>
      <c r="F1213" t="s" s="46">
        <v>2786</v>
      </c>
      <c r="G1213" s="47"/>
      <c r="H1213" s="34"/>
      <c r="I1213" s="42"/>
      <c r="J1213" s="43"/>
    </row>
    <row r="1214" ht="16" customHeight="1">
      <c r="A1214" t="s" s="44">
        <v>2825</v>
      </c>
      <c r="B1214" t="s" s="45">
        <v>2661</v>
      </c>
      <c r="C1214" t="s" s="27">
        <v>2714</v>
      </c>
      <c r="D1214" t="s" s="27">
        <v>2826</v>
      </c>
      <c r="E1214" t="s" s="27">
        <v>2827</v>
      </c>
      <c r="F1214" t="s" s="46">
        <v>2786</v>
      </c>
      <c r="G1214" s="47"/>
      <c r="H1214" s="34"/>
      <c r="I1214" s="42"/>
      <c r="J1214" s="43"/>
    </row>
    <row r="1215" ht="16" customHeight="1">
      <c r="A1215" t="s" s="44">
        <v>2828</v>
      </c>
      <c r="B1215" t="s" s="45">
        <v>2661</v>
      </c>
      <c r="C1215" t="s" s="27">
        <v>2662</v>
      </c>
      <c r="D1215" t="s" s="27">
        <v>2829</v>
      </c>
      <c r="E1215" t="s" s="27">
        <v>2830</v>
      </c>
      <c r="F1215" t="s" s="46">
        <v>2786</v>
      </c>
      <c r="G1215" s="47"/>
      <c r="H1215" s="34"/>
      <c r="I1215" s="42"/>
      <c r="J1215" s="43"/>
    </row>
    <row r="1216" ht="16" customHeight="1">
      <c r="A1216" t="s" s="44">
        <v>2831</v>
      </c>
      <c r="B1216" t="s" s="45">
        <v>2661</v>
      </c>
      <c r="C1216" t="s" s="27">
        <v>2662</v>
      </c>
      <c r="D1216" t="s" s="27">
        <v>2832</v>
      </c>
      <c r="E1216" t="s" s="27">
        <v>2833</v>
      </c>
      <c r="F1216" t="s" s="46">
        <v>2786</v>
      </c>
      <c r="G1216" s="47"/>
      <c r="H1216" s="34"/>
      <c r="I1216" s="42"/>
      <c r="J1216" s="43"/>
    </row>
    <row r="1217" ht="16" customHeight="1">
      <c r="A1217" t="s" s="44">
        <v>2834</v>
      </c>
      <c r="B1217" t="s" s="45">
        <v>2661</v>
      </c>
      <c r="C1217" t="s" s="27">
        <v>2662</v>
      </c>
      <c r="D1217" t="s" s="27">
        <v>2835</v>
      </c>
      <c r="E1217" t="s" s="27">
        <v>663</v>
      </c>
      <c r="F1217" t="s" s="46">
        <v>2786</v>
      </c>
      <c r="G1217" s="47"/>
      <c r="H1217" s="34"/>
      <c r="I1217" s="42"/>
      <c r="J1217" s="43"/>
    </row>
    <row r="1218" ht="16" customHeight="1">
      <c r="A1218" t="s" s="44">
        <v>2836</v>
      </c>
      <c r="B1218" t="s" s="45">
        <v>2661</v>
      </c>
      <c r="C1218" t="s" s="27">
        <v>2662</v>
      </c>
      <c r="D1218" t="s" s="27">
        <v>2837</v>
      </c>
      <c r="E1218" t="s" s="27">
        <v>678</v>
      </c>
      <c r="F1218" t="s" s="46">
        <v>2786</v>
      </c>
      <c r="G1218" s="47"/>
      <c r="H1218" s="34"/>
      <c r="I1218" s="42"/>
      <c r="J1218" s="43"/>
    </row>
    <row r="1219" ht="16" customHeight="1">
      <c r="A1219" t="s" s="44">
        <v>2838</v>
      </c>
      <c r="B1219" t="s" s="45">
        <v>2661</v>
      </c>
      <c r="C1219" t="s" s="27">
        <v>2662</v>
      </c>
      <c r="D1219" t="s" s="27">
        <v>2839</v>
      </c>
      <c r="E1219" t="s" s="27">
        <v>684</v>
      </c>
      <c r="F1219" t="s" s="46">
        <v>2786</v>
      </c>
      <c r="G1219" s="47"/>
      <c r="H1219" s="34"/>
      <c r="I1219" s="42"/>
      <c r="J1219" s="43"/>
    </row>
    <row r="1220" ht="16" customHeight="1">
      <c r="A1220" t="s" s="44">
        <v>2840</v>
      </c>
      <c r="B1220" t="s" s="45">
        <v>2661</v>
      </c>
      <c r="C1220" t="s" s="27">
        <v>2662</v>
      </c>
      <c r="D1220" t="s" s="27">
        <v>2841</v>
      </c>
      <c r="E1220" t="s" s="27">
        <v>2842</v>
      </c>
      <c r="F1220" t="s" s="46">
        <v>2786</v>
      </c>
      <c r="G1220" s="47"/>
      <c r="H1220" s="34"/>
      <c r="I1220" s="42"/>
      <c r="J1220" s="43"/>
    </row>
    <row r="1221" ht="16" customHeight="1">
      <c r="A1221" t="s" s="44">
        <v>2843</v>
      </c>
      <c r="B1221" t="s" s="45">
        <v>2661</v>
      </c>
      <c r="C1221" t="s" s="27">
        <v>2662</v>
      </c>
      <c r="D1221" t="s" s="27">
        <v>2844</v>
      </c>
      <c r="E1221" t="s" s="27">
        <v>2845</v>
      </c>
      <c r="F1221" t="s" s="46">
        <v>2786</v>
      </c>
      <c r="G1221" s="47"/>
      <c r="H1221" s="34"/>
      <c r="I1221" s="42"/>
      <c r="J1221" s="43"/>
    </row>
    <row r="1222" ht="16" customHeight="1">
      <c r="A1222" t="s" s="44">
        <v>2846</v>
      </c>
      <c r="B1222" t="s" s="45">
        <v>2661</v>
      </c>
      <c r="C1222" t="s" s="27">
        <v>2714</v>
      </c>
      <c r="D1222" t="s" s="27">
        <v>2847</v>
      </c>
      <c r="E1222" t="s" s="27">
        <v>2848</v>
      </c>
      <c r="F1222" t="s" s="46">
        <v>2786</v>
      </c>
      <c r="G1222" s="47"/>
      <c r="H1222" s="34"/>
      <c r="I1222" s="42"/>
      <c r="J1222" s="43"/>
    </row>
    <row r="1223" ht="16" customHeight="1">
      <c r="A1223" t="s" s="44">
        <v>2849</v>
      </c>
      <c r="B1223" t="s" s="45">
        <v>2661</v>
      </c>
      <c r="C1223" t="s" s="27">
        <v>2674</v>
      </c>
      <c r="D1223" t="s" s="27">
        <v>2850</v>
      </c>
      <c r="E1223" t="s" s="27">
        <v>742</v>
      </c>
      <c r="F1223" t="s" s="46">
        <v>2786</v>
      </c>
      <c r="G1223" s="47"/>
      <c r="H1223" s="34"/>
      <c r="I1223" s="42"/>
      <c r="J1223" s="43"/>
    </row>
    <row r="1224" ht="16" customHeight="1">
      <c r="A1224" t="s" s="44">
        <v>2851</v>
      </c>
      <c r="B1224" t="s" s="45">
        <v>2661</v>
      </c>
      <c r="C1224" s="35"/>
      <c r="D1224" t="s" s="27">
        <v>2852</v>
      </c>
      <c r="E1224" t="s" s="27">
        <v>2853</v>
      </c>
      <c r="F1224" t="s" s="46">
        <v>2786</v>
      </c>
      <c r="G1224" s="47"/>
      <c r="H1224" s="34"/>
      <c r="I1224" s="42"/>
      <c r="J1224" s="43"/>
    </row>
    <row r="1225" ht="16" customHeight="1">
      <c r="A1225" t="s" s="44">
        <v>2854</v>
      </c>
      <c r="B1225" t="s" s="45">
        <v>2661</v>
      </c>
      <c r="C1225" t="s" s="27">
        <v>2747</v>
      </c>
      <c r="D1225" t="s" s="27">
        <v>2855</v>
      </c>
      <c r="E1225" t="s" s="27">
        <v>2856</v>
      </c>
      <c r="F1225" t="s" s="46">
        <v>2786</v>
      </c>
      <c r="G1225" s="47"/>
      <c r="H1225" s="34"/>
      <c r="I1225" s="42"/>
      <c r="J1225" s="43"/>
    </row>
    <row r="1226" ht="16" customHeight="1">
      <c r="A1226" t="s" s="26">
        <v>2857</v>
      </c>
      <c r="B1226" s="48"/>
      <c r="C1226" s="48"/>
      <c r="D1226" s="48"/>
      <c r="E1226" s="48"/>
      <c r="F1226" s="48"/>
      <c r="G1226" s="33"/>
      <c r="H1226" s="34"/>
      <c r="I1226" s="42"/>
      <c r="J1226" s="43"/>
    </row>
    <row r="1227" ht="16" customHeight="1">
      <c r="A1227" t="s" s="26">
        <v>2858</v>
      </c>
      <c r="B1227" s="48"/>
      <c r="C1227" s="48"/>
      <c r="D1227" s="48"/>
      <c r="E1227" s="48"/>
      <c r="F1227" s="48"/>
      <c r="G1227" s="33"/>
      <c r="H1227" s="34"/>
      <c r="I1227" s="42"/>
      <c r="J1227" s="43"/>
    </row>
    <row r="1228" ht="16" customHeight="1">
      <c r="A1228" t="s" s="26">
        <v>2859</v>
      </c>
      <c r="B1228" s="48"/>
      <c r="C1228" s="48"/>
      <c r="D1228" s="48"/>
      <c r="E1228" s="48"/>
      <c r="F1228" s="48"/>
      <c r="G1228" s="33"/>
      <c r="H1228" s="34"/>
      <c r="I1228" s="42"/>
      <c r="J1228" s="43"/>
    </row>
    <row r="1229" ht="16" customHeight="1">
      <c r="A1229" t="s" s="26">
        <v>2860</v>
      </c>
      <c r="B1229" s="48"/>
      <c r="C1229" s="48"/>
      <c r="D1229" s="48"/>
      <c r="E1229" s="48"/>
      <c r="F1229" s="48"/>
      <c r="G1229" s="33"/>
      <c r="H1229" s="34"/>
      <c r="I1229" s="42"/>
      <c r="J1229" s="43"/>
    </row>
    <row r="1230" ht="16" customHeight="1">
      <c r="A1230" t="s" s="26">
        <v>2861</v>
      </c>
      <c r="B1230" s="48"/>
      <c r="C1230" s="48"/>
      <c r="D1230" s="48"/>
      <c r="E1230" s="48"/>
      <c r="F1230" s="48"/>
      <c r="G1230" s="33"/>
      <c r="H1230" s="34"/>
      <c r="I1230" s="42"/>
      <c r="J1230" s="43"/>
    </row>
    <row r="1231" ht="16" customHeight="1">
      <c r="A1231" t="s" s="26">
        <v>2862</v>
      </c>
      <c r="B1231" s="48"/>
      <c r="C1231" s="48"/>
      <c r="D1231" s="48"/>
      <c r="E1231" s="48"/>
      <c r="F1231" s="48"/>
      <c r="G1231" s="33"/>
      <c r="H1231" s="34"/>
      <c r="I1231" s="42"/>
      <c r="J1231" s="43"/>
    </row>
    <row r="1232" ht="16" customHeight="1">
      <c r="A1232" t="s" s="26">
        <v>2863</v>
      </c>
      <c r="B1232" s="48"/>
      <c r="C1232" s="48"/>
      <c r="D1232" s="48"/>
      <c r="E1232" s="48"/>
      <c r="F1232" s="48"/>
      <c r="G1232" s="33"/>
      <c r="H1232" s="34"/>
      <c r="I1232" s="42"/>
      <c r="J1232" s="43"/>
    </row>
    <row r="1233" ht="16" customHeight="1">
      <c r="A1233" t="s" s="26">
        <v>2864</v>
      </c>
      <c r="B1233" s="48"/>
      <c r="C1233" s="48"/>
      <c r="D1233" s="48"/>
      <c r="E1233" s="48"/>
      <c r="F1233" s="48"/>
      <c r="G1233" s="33"/>
      <c r="H1233" s="34"/>
      <c r="I1233" s="42"/>
      <c r="J1233" s="43"/>
    </row>
    <row r="1234" ht="16" customHeight="1">
      <c r="A1234" t="s" s="26">
        <v>2865</v>
      </c>
      <c r="B1234" s="48"/>
      <c r="C1234" s="48"/>
      <c r="D1234" s="48"/>
      <c r="E1234" s="48"/>
      <c r="F1234" s="48"/>
      <c r="G1234" s="33"/>
      <c r="H1234" s="34"/>
      <c r="I1234" s="42"/>
      <c r="J1234" s="43"/>
    </row>
    <row r="1235" ht="16" customHeight="1">
      <c r="A1235" t="s" s="26">
        <v>2866</v>
      </c>
      <c r="B1235" s="48"/>
      <c r="C1235" s="48"/>
      <c r="D1235" s="48"/>
      <c r="E1235" s="48"/>
      <c r="F1235" s="48"/>
      <c r="G1235" s="33"/>
      <c r="H1235" s="34"/>
      <c r="I1235" s="42"/>
      <c r="J1235" s="43"/>
    </row>
    <row r="1236" ht="16" customHeight="1">
      <c r="A1236" t="s" s="26">
        <v>2867</v>
      </c>
      <c r="B1236" s="48"/>
      <c r="C1236" s="48"/>
      <c r="D1236" s="48"/>
      <c r="E1236" s="48"/>
      <c r="F1236" s="48"/>
      <c r="G1236" s="33"/>
      <c r="H1236" s="34"/>
      <c r="I1236" s="42"/>
      <c r="J1236" s="43"/>
    </row>
    <row r="1237" ht="16" customHeight="1">
      <c r="A1237" t="s" s="26">
        <v>2868</v>
      </c>
      <c r="B1237" s="48"/>
      <c r="C1237" s="48"/>
      <c r="D1237" s="48"/>
      <c r="E1237" s="48"/>
      <c r="F1237" s="48"/>
      <c r="G1237" s="33"/>
      <c r="H1237" s="34"/>
      <c r="I1237" s="42"/>
      <c r="J1237" s="43"/>
    </row>
    <row r="1238" ht="16" customHeight="1">
      <c r="A1238" t="s" s="26">
        <v>2869</v>
      </c>
      <c r="B1238" s="48"/>
      <c r="C1238" s="48"/>
      <c r="D1238" s="48"/>
      <c r="E1238" s="48"/>
      <c r="F1238" s="48"/>
      <c r="G1238" s="33"/>
      <c r="H1238" s="34"/>
      <c r="I1238" s="42"/>
      <c r="J1238" s="43"/>
    </row>
    <row r="1239" ht="16" customHeight="1">
      <c r="A1239" t="s" s="26">
        <v>2870</v>
      </c>
      <c r="B1239" s="48"/>
      <c r="C1239" s="48"/>
      <c r="D1239" s="48"/>
      <c r="E1239" s="48"/>
      <c r="F1239" s="48"/>
      <c r="G1239" s="33"/>
      <c r="H1239" s="34"/>
      <c r="I1239" s="42"/>
      <c r="J1239" s="43"/>
    </row>
  </sheetData>
  <pageMargins left="0" right="0" top="0.19685" bottom="0.19685" header="0" footer="0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136"/>
  <sheetViews>
    <sheetView workbookViewId="0" showGridLines="0" defaultGridColor="1"/>
  </sheetViews>
  <sheetFormatPr defaultColWidth="8.83333" defaultRowHeight="16.5" customHeight="1" outlineLevelRow="0" outlineLevelCol="0"/>
  <cols>
    <col min="1" max="7" width="31.6719" style="49" customWidth="1"/>
    <col min="8" max="8" width="14.3516" style="49" customWidth="1"/>
    <col min="9" max="9" width="15.8516" style="49" customWidth="1"/>
    <col min="10" max="16384" width="8.85156" style="49" customWidth="1"/>
  </cols>
  <sheetData>
    <row r="1" ht="16.5" customHeight="1">
      <c r="A1" t="s" s="50">
        <v>2871</v>
      </c>
      <c r="B1" s="51"/>
      <c r="C1" s="51"/>
      <c r="D1" s="51"/>
      <c r="E1" s="51"/>
      <c r="F1" s="51"/>
      <c r="G1" s="51"/>
      <c r="H1" s="52"/>
      <c r="I1" s="53"/>
    </row>
    <row r="2" ht="16" customHeight="1">
      <c r="A2" s="51"/>
      <c r="B2" s="51"/>
      <c r="C2" s="51"/>
      <c r="D2" s="51"/>
      <c r="E2" s="51"/>
      <c r="F2" s="51"/>
      <c r="G2" s="51"/>
      <c r="H2" s="54"/>
      <c r="I2" s="55"/>
    </row>
    <row r="3" ht="16" customHeight="1">
      <c r="A3" t="s" s="40">
        <v>2872</v>
      </c>
      <c r="B3" t="s" s="40">
        <v>2873</v>
      </c>
      <c r="C3" t="s" s="40">
        <v>2874</v>
      </c>
      <c r="D3" t="s" s="40">
        <v>2875</v>
      </c>
      <c r="E3" t="s" s="40">
        <v>2876</v>
      </c>
      <c r="F3" t="s" s="40">
        <v>2877</v>
      </c>
      <c r="G3" t="s" s="40">
        <v>2872</v>
      </c>
      <c r="H3" s="54"/>
      <c r="I3" s="55"/>
    </row>
    <row r="4" ht="9" customHeight="1" hidden="1">
      <c r="A4" t="s" s="44">
        <v>41</v>
      </c>
      <c r="B4" t="s" s="44">
        <v>42</v>
      </c>
      <c r="C4" t="s" s="44">
        <v>611</v>
      </c>
      <c r="D4" t="s" s="44">
        <v>612</v>
      </c>
      <c r="E4" t="s" s="44">
        <v>45</v>
      </c>
      <c r="F4" s="47" cm="1">
        <f t="array" ref="F4">RAND()*6</f>
        <v>1.28337264946146</v>
      </c>
      <c r="G4" t="s" s="44">
        <v>41</v>
      </c>
      <c r="H4" s="56"/>
      <c r="I4" s="32"/>
    </row>
    <row r="5" ht="9" customHeight="1" hidden="1">
      <c r="A5" t="s" s="44">
        <v>41</v>
      </c>
      <c r="B5" t="s" s="44">
        <v>42</v>
      </c>
      <c r="C5" t="s" s="44">
        <v>614</v>
      </c>
      <c r="D5" t="s" s="44">
        <v>615</v>
      </c>
      <c r="E5" t="s" s="44">
        <v>45</v>
      </c>
      <c r="F5" s="47" cm="1">
        <f t="array" ref="F5">RAND()*6</f>
        <v>3.64932318424466</v>
      </c>
      <c r="G5" t="s" s="44">
        <v>41</v>
      </c>
      <c r="H5" s="56"/>
      <c r="I5" s="32"/>
    </row>
    <row r="6" ht="9" customHeight="1" hidden="1">
      <c r="A6" t="s" s="44">
        <v>41</v>
      </c>
      <c r="B6" t="s" s="44">
        <v>42</v>
      </c>
      <c r="C6" t="s" s="44">
        <v>2878</v>
      </c>
      <c r="D6" t="s" s="44">
        <v>618</v>
      </c>
      <c r="E6" t="s" s="44">
        <v>45</v>
      </c>
      <c r="F6" s="47" cm="1">
        <f t="array" ref="F6">RAND()*6</f>
        <v>2.8595308078434</v>
      </c>
      <c r="G6" t="s" s="44">
        <v>41</v>
      </c>
      <c r="H6" s="56"/>
      <c r="I6" s="32"/>
    </row>
    <row r="7" ht="27" customHeight="1" hidden="1">
      <c r="A7" t="s" s="44">
        <v>41</v>
      </c>
      <c r="B7" t="s" s="44">
        <v>42</v>
      </c>
      <c r="C7" t="s" s="44">
        <v>2879</v>
      </c>
      <c r="D7" t="s" s="44">
        <v>621</v>
      </c>
      <c r="E7" t="s" s="44">
        <v>45</v>
      </c>
      <c r="F7" s="47" cm="1">
        <f t="array" ref="F7">RAND()*6</f>
        <v>1.60004373441991</v>
      </c>
      <c r="G7" t="s" s="44">
        <v>41</v>
      </c>
      <c r="H7" s="56"/>
      <c r="I7" s="32"/>
    </row>
    <row r="8" ht="30.75" customHeight="1" hidden="1">
      <c r="A8" t="s" s="44">
        <v>41</v>
      </c>
      <c r="B8" t="s" s="44">
        <v>42</v>
      </c>
      <c r="C8" t="s" s="44">
        <v>2880</v>
      </c>
      <c r="D8" t="s" s="44">
        <v>624</v>
      </c>
      <c r="E8" t="s" s="44">
        <v>45</v>
      </c>
      <c r="F8" s="47" cm="1">
        <f t="array" ref="F8">RAND()*6</f>
        <v>0.0817941658747947</v>
      </c>
      <c r="G8" t="s" s="44">
        <v>41</v>
      </c>
      <c r="H8" s="56"/>
      <c r="I8" s="32"/>
    </row>
    <row r="9" ht="29.25" customHeight="1" hidden="1">
      <c r="A9" t="s" s="44">
        <v>41</v>
      </c>
      <c r="B9" t="s" s="44">
        <v>42</v>
      </c>
      <c r="C9" t="s" s="44">
        <v>626</v>
      </c>
      <c r="D9" t="s" s="44">
        <v>627</v>
      </c>
      <c r="E9" t="s" s="44">
        <v>45</v>
      </c>
      <c r="F9" s="47" cm="1">
        <f t="array" ref="F9">RAND()*6</f>
        <v>2.15379920398735</v>
      </c>
      <c r="G9" t="s" s="44">
        <v>41</v>
      </c>
      <c r="H9" s="56"/>
      <c r="I9" s="32"/>
    </row>
    <row r="10" ht="9" customHeight="1" hidden="1">
      <c r="A10" t="s" s="44">
        <v>41</v>
      </c>
      <c r="B10" t="s" s="44">
        <v>42</v>
      </c>
      <c r="C10" t="s" s="44">
        <v>2881</v>
      </c>
      <c r="D10" t="s" s="44">
        <v>632</v>
      </c>
      <c r="E10" t="s" s="44">
        <v>45</v>
      </c>
      <c r="F10" s="47" cm="1">
        <f t="array" ref="F10">RAND()*6</f>
        <v>0.935958956220315</v>
      </c>
      <c r="G10" t="s" s="44">
        <v>41</v>
      </c>
      <c r="H10" s="56"/>
      <c r="I10" s="32"/>
    </row>
    <row r="11" ht="22.5" customHeight="1" hidden="1">
      <c r="A11" t="s" s="44">
        <v>41</v>
      </c>
      <c r="B11" t="s" s="44">
        <v>42</v>
      </c>
      <c r="C11" t="s" s="44">
        <v>2881</v>
      </c>
      <c r="D11" t="s" s="44">
        <v>635</v>
      </c>
      <c r="E11" t="s" s="44">
        <v>45</v>
      </c>
      <c r="F11" s="47" cm="1">
        <f t="array" ref="F11">RAND()*6</f>
        <v>1.82637752527058</v>
      </c>
      <c r="G11" t="s" s="44">
        <v>41</v>
      </c>
      <c r="H11" s="56"/>
      <c r="I11" s="32"/>
    </row>
    <row r="12" ht="25.5" customHeight="1" hidden="1">
      <c r="A12" t="s" s="44">
        <v>41</v>
      </c>
      <c r="B12" t="s" s="44">
        <v>42</v>
      </c>
      <c r="C12" t="s" s="44">
        <v>641</v>
      </c>
      <c r="D12" t="s" s="44">
        <v>642</v>
      </c>
      <c r="E12" t="s" s="44">
        <v>45</v>
      </c>
      <c r="F12" s="47" cm="1">
        <f t="array" ref="F12">RAND()*6</f>
        <v>1.01510690345571</v>
      </c>
      <c r="G12" t="s" s="44">
        <v>41</v>
      </c>
      <c r="H12" s="56"/>
      <c r="I12" s="32"/>
    </row>
    <row r="13" ht="20.25" customHeight="1" hidden="1">
      <c r="A13" t="s" s="44">
        <v>41</v>
      </c>
      <c r="B13" t="s" s="44">
        <v>42</v>
      </c>
      <c r="C13" t="s" s="44">
        <v>2882</v>
      </c>
      <c r="D13" t="s" s="44">
        <v>651</v>
      </c>
      <c r="E13" t="s" s="44">
        <v>45</v>
      </c>
      <c r="F13" s="47" cm="1">
        <f t="array" ref="F13">RAND()*6</f>
        <v>4.49179890668629</v>
      </c>
      <c r="G13" t="s" s="44">
        <v>41</v>
      </c>
      <c r="H13" s="56"/>
      <c r="I13" s="32"/>
    </row>
    <row r="14" ht="9" customHeight="1" hidden="1">
      <c r="A14" t="s" s="44">
        <v>41</v>
      </c>
      <c r="B14" t="s" s="44">
        <v>42</v>
      </c>
      <c r="C14" t="s" s="44">
        <v>2883</v>
      </c>
      <c r="D14" t="s" s="44">
        <v>654</v>
      </c>
      <c r="E14" t="s" s="44">
        <v>45</v>
      </c>
      <c r="F14" s="47" cm="1">
        <f t="array" ref="F14">RAND()*6</f>
        <v>2.22631886116471</v>
      </c>
      <c r="G14" t="s" s="44">
        <v>41</v>
      </c>
      <c r="H14" s="56"/>
      <c r="I14" s="32"/>
    </row>
    <row r="15" ht="33.75" customHeight="1">
      <c r="A15" t="s" s="44">
        <v>41</v>
      </c>
      <c r="B15" t="s" s="44">
        <v>42</v>
      </c>
      <c r="C15" t="s" s="44">
        <v>656</v>
      </c>
      <c r="D15" t="s" s="44">
        <v>657</v>
      </c>
      <c r="E15" t="s" s="44">
        <v>45</v>
      </c>
      <c r="F15" s="47" cm="1">
        <f t="array" ref="F15">RAND()*6</f>
        <v>3.04756871935975</v>
      </c>
      <c r="G15" t="s" s="44">
        <v>41</v>
      </c>
      <c r="H15" s="56"/>
      <c r="I15" s="32"/>
    </row>
    <row r="16" ht="16.5" customHeight="1">
      <c r="A16" t="s" s="44">
        <v>41</v>
      </c>
      <c r="B16" s="44"/>
      <c r="C16" t="s" s="44">
        <v>662</v>
      </c>
      <c r="D16" t="s" s="44">
        <v>663</v>
      </c>
      <c r="E16" t="s" s="44">
        <v>45</v>
      </c>
      <c r="F16" s="47" cm="1">
        <f t="array" ref="F16">RAND()*6</f>
        <v>0.532287613001114</v>
      </c>
      <c r="G16" t="s" s="44">
        <v>41</v>
      </c>
      <c r="H16" s="56"/>
      <c r="I16" s="32"/>
    </row>
    <row r="17" ht="16" customHeight="1">
      <c r="A17" t="s" s="44">
        <v>41</v>
      </c>
      <c r="B17" t="s" s="44">
        <v>42</v>
      </c>
      <c r="C17" t="s" s="44">
        <v>2884</v>
      </c>
      <c r="D17" t="s" s="44">
        <v>669</v>
      </c>
      <c r="E17" t="s" s="44">
        <v>45</v>
      </c>
      <c r="F17" s="47" cm="1">
        <f t="array" ref="F17">RAND()*6</f>
        <v>0.123654012285334</v>
      </c>
      <c r="G17" t="s" s="44">
        <v>41</v>
      </c>
      <c r="H17" s="56"/>
      <c r="I17" s="32"/>
    </row>
    <row r="18" ht="16" customHeight="1">
      <c r="A18" t="s" s="44">
        <v>41</v>
      </c>
      <c r="B18" t="s" s="44">
        <v>73</v>
      </c>
      <c r="C18" t="s" s="44">
        <v>2885</v>
      </c>
      <c r="D18" t="s" s="44">
        <v>672</v>
      </c>
      <c r="E18" t="s" s="44">
        <v>45</v>
      </c>
      <c r="F18" s="47" cm="1">
        <f t="array" ref="F18">RAND()*6</f>
        <v>5.44182691606967</v>
      </c>
      <c r="G18" t="s" s="44">
        <v>41</v>
      </c>
      <c r="H18" s="56"/>
      <c r="I18" s="32"/>
    </row>
    <row r="19" ht="29.25" customHeight="1" hidden="1">
      <c r="A19" t="s" s="44">
        <v>41</v>
      </c>
      <c r="B19" t="s" s="44">
        <v>423</v>
      </c>
      <c r="C19" t="s" s="44">
        <v>2886</v>
      </c>
      <c r="D19" t="s" s="44">
        <v>612</v>
      </c>
      <c r="E19" t="s" s="44">
        <v>836</v>
      </c>
      <c r="F19" s="47" cm="1">
        <f t="array" ref="F19">RAND()*6</f>
        <v>1.99497823506166</v>
      </c>
      <c r="G19" t="s" s="44">
        <v>41</v>
      </c>
      <c r="H19" s="56"/>
      <c r="I19" s="32"/>
    </row>
    <row r="20" ht="30.75" customHeight="1" hidden="1">
      <c r="A20" t="s" s="44">
        <v>41</v>
      </c>
      <c r="B20" t="s" s="44">
        <v>42</v>
      </c>
      <c r="C20" t="s" s="44">
        <v>2887</v>
      </c>
      <c r="D20" t="s" s="44">
        <v>615</v>
      </c>
      <c r="E20" t="s" s="44">
        <v>836</v>
      </c>
      <c r="F20" s="47" cm="1">
        <f t="array" ref="F20">RAND()*6</f>
        <v>2.46486491961278</v>
      </c>
      <c r="G20" t="s" s="44">
        <v>41</v>
      </c>
      <c r="H20" s="56"/>
      <c r="I20" s="32"/>
    </row>
    <row r="21" ht="24.75" customHeight="1" hidden="1">
      <c r="A21" t="s" s="44">
        <v>41</v>
      </c>
      <c r="B21" t="s" s="44">
        <v>423</v>
      </c>
      <c r="C21" t="s" s="44">
        <v>1311</v>
      </c>
      <c r="D21" t="s" s="44">
        <v>621</v>
      </c>
      <c r="E21" t="s" s="44">
        <v>836</v>
      </c>
      <c r="F21" s="47" cm="1">
        <f t="array" ref="F21">RAND()*6</f>
        <v>4.88285448377211</v>
      </c>
      <c r="G21" t="s" s="44">
        <v>41</v>
      </c>
      <c r="H21" s="56"/>
      <c r="I21" s="32"/>
    </row>
    <row r="22" ht="21" customHeight="1" hidden="1">
      <c r="A22" t="s" s="44">
        <v>41</v>
      </c>
      <c r="B22" t="s" s="44">
        <v>42</v>
      </c>
      <c r="C22" t="s" s="44">
        <v>1313</v>
      </c>
      <c r="D22" t="s" s="44">
        <v>627</v>
      </c>
      <c r="E22" t="s" s="44">
        <v>836</v>
      </c>
      <c r="F22" s="47" cm="1">
        <f t="array" ref="F22">RAND()*6</f>
        <v>2.5208888575557</v>
      </c>
      <c r="G22" t="s" s="44">
        <v>41</v>
      </c>
      <c r="H22" s="56"/>
      <c r="I22" s="32"/>
    </row>
    <row r="23" ht="15.75" customHeight="1" hidden="1">
      <c r="A23" t="s" s="44">
        <v>41</v>
      </c>
      <c r="B23" t="s" s="44">
        <v>838</v>
      </c>
      <c r="C23" t="s" s="44">
        <v>1317</v>
      </c>
      <c r="D23" t="s" s="44">
        <v>635</v>
      </c>
      <c r="E23" t="s" s="44">
        <v>836</v>
      </c>
      <c r="F23" s="47" cm="1">
        <f t="array" ref="F23">RAND()*6</f>
        <v>5.08179749005596</v>
      </c>
      <c r="G23" t="s" s="44">
        <v>41</v>
      </c>
      <c r="H23" s="56"/>
      <c r="I23" s="32"/>
    </row>
    <row r="24" ht="24" customHeight="1" hidden="1">
      <c r="A24" t="s" s="44">
        <v>41</v>
      </c>
      <c r="B24" t="s" s="44">
        <v>449</v>
      </c>
      <c r="C24" t="s" s="44">
        <v>2888</v>
      </c>
      <c r="D24" t="s" s="44">
        <v>642</v>
      </c>
      <c r="E24" t="s" s="44">
        <v>836</v>
      </c>
      <c r="F24" s="47" cm="1">
        <f t="array" ref="F24">RAND()*6</f>
        <v>4.33708582241014</v>
      </c>
      <c r="G24" t="s" s="44">
        <v>41</v>
      </c>
      <c r="H24" s="56"/>
      <c r="I24" s="32"/>
    </row>
    <row r="25" ht="21" customHeight="1" hidden="1">
      <c r="A25" t="s" s="44">
        <v>41</v>
      </c>
      <c r="B25" t="s" s="44">
        <v>57</v>
      </c>
      <c r="C25" t="s" s="44">
        <v>2889</v>
      </c>
      <c r="D25" t="s" s="44">
        <v>645</v>
      </c>
      <c r="E25" t="s" s="44">
        <v>836</v>
      </c>
      <c r="F25" s="47" cm="1">
        <f t="array" ref="F25">RAND()*6</f>
        <v>4.49535134062733</v>
      </c>
      <c r="G25" t="s" s="44">
        <v>41</v>
      </c>
      <c r="H25" s="56"/>
      <c r="I25" s="32"/>
    </row>
    <row r="26" ht="9" customHeight="1" hidden="1">
      <c r="A26" t="s" s="44">
        <v>41</v>
      </c>
      <c r="B26" t="s" s="44">
        <v>838</v>
      </c>
      <c r="C26" t="s" s="44">
        <v>1325</v>
      </c>
      <c r="D26" t="s" s="44">
        <v>645</v>
      </c>
      <c r="E26" t="s" s="44">
        <v>836</v>
      </c>
      <c r="F26" s="47" cm="1">
        <f t="array" ref="F26">RAND()*6</f>
        <v>2.73882108839083</v>
      </c>
      <c r="G26" t="s" s="44">
        <v>41</v>
      </c>
      <c r="H26" s="56"/>
      <c r="I26" s="32"/>
    </row>
    <row r="27" ht="9" customHeight="1" hidden="1">
      <c r="A27" t="s" s="44">
        <v>41</v>
      </c>
      <c r="B27" t="s" s="44">
        <v>838</v>
      </c>
      <c r="C27" t="s" s="44">
        <v>1327</v>
      </c>
      <c r="D27" t="s" s="44">
        <v>648</v>
      </c>
      <c r="E27" t="s" s="44">
        <v>836</v>
      </c>
      <c r="F27" s="47" cm="1">
        <f t="array" ref="F27">RAND()*6</f>
        <v>0.781619034053007</v>
      </c>
      <c r="G27" t="s" s="44">
        <v>41</v>
      </c>
      <c r="H27" s="56"/>
      <c r="I27" s="32"/>
    </row>
    <row r="28" ht="25.5" customHeight="1" hidden="1">
      <c r="A28" t="s" s="44">
        <v>41</v>
      </c>
      <c r="B28" t="s" s="44">
        <v>423</v>
      </c>
      <c r="C28" t="s" s="44">
        <v>2890</v>
      </c>
      <c r="D28" t="s" s="44">
        <v>651</v>
      </c>
      <c r="E28" t="s" s="44">
        <v>836</v>
      </c>
      <c r="F28" s="47" cm="1">
        <f t="array" ref="F28">RAND()*6</f>
        <v>1.06975657820816</v>
      </c>
      <c r="G28" t="s" s="44">
        <v>41</v>
      </c>
      <c r="H28" s="56"/>
      <c r="I28" s="32"/>
    </row>
    <row r="29" ht="9" customHeight="1" hidden="1">
      <c r="A29" t="s" s="44">
        <v>41</v>
      </c>
      <c r="B29" t="s" s="44">
        <v>423</v>
      </c>
      <c r="C29" t="s" s="44">
        <v>1331</v>
      </c>
      <c r="D29" t="s" s="44">
        <v>654</v>
      </c>
      <c r="E29" t="s" s="44">
        <v>836</v>
      </c>
      <c r="F29" s="47" cm="1">
        <f t="array" ref="F29">RAND()*6</f>
        <v>2.57626226256445</v>
      </c>
      <c r="G29" t="s" s="44">
        <v>41</v>
      </c>
      <c r="H29" s="56"/>
      <c r="I29" s="32"/>
    </row>
    <row r="30" ht="25.5" customHeight="1">
      <c r="A30" t="s" s="44">
        <v>41</v>
      </c>
      <c r="B30" t="s" s="44">
        <v>449</v>
      </c>
      <c r="C30" t="s" s="44">
        <v>2891</v>
      </c>
      <c r="D30" t="s" s="44">
        <v>657</v>
      </c>
      <c r="E30" t="s" s="44">
        <v>836</v>
      </c>
      <c r="F30" s="47" cm="1">
        <f t="array" ref="F30">RAND()*6</f>
        <v>4.53650599066774</v>
      </c>
      <c r="G30" t="s" s="44">
        <v>41</v>
      </c>
      <c r="H30" s="56"/>
      <c r="I30" s="32"/>
    </row>
    <row r="31" ht="16" customHeight="1">
      <c r="A31" t="s" s="44">
        <v>41</v>
      </c>
      <c r="B31" t="s" s="44">
        <v>42</v>
      </c>
      <c r="C31" t="s" s="44">
        <v>1335</v>
      </c>
      <c r="D31" t="s" s="44">
        <v>660</v>
      </c>
      <c r="E31" t="s" s="44">
        <v>836</v>
      </c>
      <c r="F31" s="47" cm="1">
        <f t="array" ref="F31">RAND()*6</f>
        <v>2.34848266087083</v>
      </c>
      <c r="G31" t="s" s="44">
        <v>41</v>
      </c>
      <c r="H31" s="56"/>
      <c r="I31" s="32"/>
    </row>
    <row r="32" ht="25.5" customHeight="1">
      <c r="A32" t="s" s="44">
        <v>41</v>
      </c>
      <c r="B32" t="s" s="44">
        <v>42</v>
      </c>
      <c r="C32" t="s" s="44">
        <v>2892</v>
      </c>
      <c r="D32" t="s" s="44">
        <v>663</v>
      </c>
      <c r="E32" t="s" s="44">
        <v>836</v>
      </c>
      <c r="F32" s="47" cm="1">
        <f t="array" ref="F32">RAND()*6</f>
        <v>3.41726945723324</v>
      </c>
      <c r="G32" t="s" s="44">
        <v>41</v>
      </c>
      <c r="H32" s="56"/>
      <c r="I32" s="32"/>
    </row>
    <row r="33" ht="16" customHeight="1">
      <c r="A33" t="s" s="44">
        <v>41</v>
      </c>
      <c r="B33" t="s" s="44">
        <v>423</v>
      </c>
      <c r="C33" t="s" s="44">
        <v>1337</v>
      </c>
      <c r="D33" t="s" s="44">
        <v>663</v>
      </c>
      <c r="E33" t="s" s="44">
        <v>836</v>
      </c>
      <c r="F33" s="47" cm="1">
        <f t="array" ref="F33">RAND()*6</f>
        <v>1.35792646870779</v>
      </c>
      <c r="G33" t="s" s="44">
        <v>41</v>
      </c>
      <c r="H33" s="56"/>
      <c r="I33" s="32"/>
    </row>
    <row r="34" ht="16" customHeight="1">
      <c r="A34" t="s" s="44">
        <v>41</v>
      </c>
      <c r="B34" t="s" s="44">
        <v>42</v>
      </c>
      <c r="C34" t="s" s="44">
        <v>2893</v>
      </c>
      <c r="D34" t="s" s="44">
        <v>666</v>
      </c>
      <c r="E34" t="s" s="44">
        <v>836</v>
      </c>
      <c r="F34" s="47" cm="1">
        <f t="array" ref="F34">RAND()*6</f>
        <v>2.47247020463737</v>
      </c>
      <c r="G34" t="s" s="44">
        <v>41</v>
      </c>
      <c r="H34" s="56"/>
      <c r="I34" s="32"/>
    </row>
    <row r="35" ht="25.5" customHeight="1">
      <c r="A35" t="s" s="44">
        <v>41</v>
      </c>
      <c r="B35" t="s" s="44">
        <v>423</v>
      </c>
      <c r="C35" t="s" s="44">
        <v>2894</v>
      </c>
      <c r="D35" t="s" s="44">
        <v>669</v>
      </c>
      <c r="E35" t="s" s="44">
        <v>836</v>
      </c>
      <c r="F35" s="47" cm="1">
        <f t="array" ref="F35">RAND()*6</f>
        <v>3.49161433956551</v>
      </c>
      <c r="G35" t="s" s="44">
        <v>41</v>
      </c>
      <c r="H35" s="56"/>
      <c r="I35" s="32"/>
    </row>
    <row r="36" ht="16" customHeight="1">
      <c r="A36" t="s" s="44">
        <v>41</v>
      </c>
      <c r="B36" t="s" s="44">
        <v>42</v>
      </c>
      <c r="C36" t="s" s="44">
        <v>1345</v>
      </c>
      <c r="D36" t="s" s="44">
        <v>675</v>
      </c>
      <c r="E36" t="s" s="44">
        <v>836</v>
      </c>
      <c r="F36" s="47" cm="1">
        <f t="array" ref="F36">RAND()*6</f>
        <v>5.78151822695523</v>
      </c>
      <c r="G36" t="s" s="44">
        <v>41</v>
      </c>
      <c r="H36" s="56"/>
      <c r="I36" s="32"/>
    </row>
    <row r="37" ht="16" customHeight="1">
      <c r="A37" t="s" s="44">
        <v>41</v>
      </c>
      <c r="B37" t="s" s="44">
        <v>42</v>
      </c>
      <c r="C37" t="s" s="44">
        <v>2895</v>
      </c>
      <c r="D37" t="s" s="44">
        <v>678</v>
      </c>
      <c r="E37" t="s" s="44">
        <v>836</v>
      </c>
      <c r="F37" s="47" cm="1">
        <f t="array" ref="F37">RAND()*6</f>
        <v>5.58588737860584</v>
      </c>
      <c r="G37" t="s" s="44">
        <v>41</v>
      </c>
      <c r="H37" s="56"/>
      <c r="I37" s="32"/>
    </row>
    <row r="38" ht="9" customHeight="1" hidden="1">
      <c r="A38" t="s" s="44">
        <v>41</v>
      </c>
      <c r="B38" t="s" s="44">
        <v>42</v>
      </c>
      <c r="C38" t="s" s="44">
        <v>1986</v>
      </c>
      <c r="D38" t="s" s="44">
        <v>612</v>
      </c>
      <c r="E38" t="s" s="44">
        <v>1471</v>
      </c>
      <c r="F38" s="47" cm="1">
        <f t="array" ref="F38">RAND()*6</f>
        <v>4.00932398796604</v>
      </c>
      <c r="G38" t="s" s="44">
        <v>41</v>
      </c>
      <c r="H38" s="56"/>
      <c r="I38" s="32"/>
    </row>
    <row r="39" ht="9" customHeight="1" hidden="1">
      <c r="A39" t="s" s="44">
        <v>41</v>
      </c>
      <c r="B39" t="s" s="44">
        <v>42</v>
      </c>
      <c r="C39" t="s" s="44">
        <v>1989</v>
      </c>
      <c r="D39" t="s" s="44">
        <v>615</v>
      </c>
      <c r="E39" t="s" s="44">
        <v>1471</v>
      </c>
      <c r="F39" s="47" cm="1">
        <f t="array" ref="F39">RAND()*6</f>
        <v>1.58811221033616</v>
      </c>
      <c r="G39" t="s" s="44">
        <v>41</v>
      </c>
      <c r="H39" s="56"/>
      <c r="I39" s="32"/>
    </row>
    <row r="40" ht="9" customHeight="1" hidden="1">
      <c r="A40" t="s" s="44">
        <v>41</v>
      </c>
      <c r="B40" t="s" s="44">
        <v>42</v>
      </c>
      <c r="C40" t="s" s="44">
        <v>1991</v>
      </c>
      <c r="D40" t="s" s="44">
        <v>618</v>
      </c>
      <c r="E40" t="s" s="44">
        <v>1471</v>
      </c>
      <c r="F40" s="47" cm="1">
        <f t="array" ref="F40">RAND()*6</f>
        <v>5.63702440307606</v>
      </c>
      <c r="G40" t="s" s="44">
        <v>41</v>
      </c>
      <c r="H40" s="56"/>
      <c r="I40" s="32"/>
    </row>
    <row r="41" ht="9" customHeight="1" hidden="1">
      <c r="A41" t="s" s="44">
        <v>41</v>
      </c>
      <c r="B41" t="s" s="44">
        <v>42</v>
      </c>
      <c r="C41" t="s" s="44">
        <v>1993</v>
      </c>
      <c r="D41" t="s" s="44">
        <v>621</v>
      </c>
      <c r="E41" t="s" s="44">
        <v>1471</v>
      </c>
      <c r="F41" s="47" cm="1">
        <f t="array" ref="F41">RAND()*6</f>
        <v>3.86092633401332</v>
      </c>
      <c r="G41" t="s" s="44">
        <v>41</v>
      </c>
      <c r="H41" s="56"/>
      <c r="I41" s="32"/>
    </row>
    <row r="42" ht="9" customHeight="1" hidden="1">
      <c r="A42" t="s" s="44">
        <v>41</v>
      </c>
      <c r="B42" t="s" s="44">
        <v>838</v>
      </c>
      <c r="C42" t="s" s="44">
        <v>1995</v>
      </c>
      <c r="D42" t="s" s="44">
        <v>624</v>
      </c>
      <c r="E42" t="s" s="44">
        <v>1471</v>
      </c>
      <c r="F42" s="47" cm="1">
        <f t="array" ref="F42">RAND()*6</f>
        <v>2.12059837224471</v>
      </c>
      <c r="G42" t="s" s="44">
        <v>41</v>
      </c>
      <c r="H42" s="56"/>
      <c r="I42" s="32"/>
    </row>
    <row r="43" ht="9" customHeight="1" hidden="1">
      <c r="A43" t="s" s="44">
        <v>41</v>
      </c>
      <c r="B43" t="s" s="44">
        <v>423</v>
      </c>
      <c r="C43" t="s" s="44">
        <v>2896</v>
      </c>
      <c r="D43" t="s" s="44">
        <v>624</v>
      </c>
      <c r="E43" t="s" s="44">
        <v>1471</v>
      </c>
      <c r="F43" s="47" cm="1">
        <f t="array" ref="F43">RAND()*6</f>
        <v>5.3468520452418</v>
      </c>
      <c r="G43" t="s" s="44">
        <v>41</v>
      </c>
      <c r="H43" s="56"/>
      <c r="I43" s="32"/>
    </row>
    <row r="44" ht="9" customHeight="1" hidden="1">
      <c r="A44" t="s" s="44">
        <v>41</v>
      </c>
      <c r="B44" t="s" s="44">
        <v>838</v>
      </c>
      <c r="C44" t="s" s="44">
        <v>1999</v>
      </c>
      <c r="D44" t="s" s="44">
        <v>627</v>
      </c>
      <c r="E44" t="s" s="44">
        <v>1471</v>
      </c>
      <c r="F44" s="47" cm="1">
        <f t="array" ref="F44">RAND()*6</f>
        <v>1.12232934095131</v>
      </c>
      <c r="G44" t="s" s="44">
        <v>41</v>
      </c>
      <c r="H44" s="56"/>
      <c r="I44" s="32"/>
    </row>
    <row r="45" ht="9" customHeight="1" hidden="1">
      <c r="A45" t="s" s="44">
        <v>41</v>
      </c>
      <c r="B45" t="s" s="44">
        <v>838</v>
      </c>
      <c r="C45" t="s" s="44">
        <v>2001</v>
      </c>
      <c r="D45" t="s" s="44">
        <v>627</v>
      </c>
      <c r="E45" t="s" s="44">
        <v>1471</v>
      </c>
      <c r="F45" s="47" cm="1">
        <f t="array" ref="F45">RAND()*6</f>
        <v>2.40133480759489</v>
      </c>
      <c r="G45" t="s" s="44">
        <v>41</v>
      </c>
      <c r="H45" s="56"/>
      <c r="I45" s="32"/>
    </row>
    <row r="46" ht="9" customHeight="1" hidden="1">
      <c r="A46" t="s" s="44">
        <v>41</v>
      </c>
      <c r="B46" t="s" s="44">
        <v>838</v>
      </c>
      <c r="C46" t="s" s="44">
        <v>2003</v>
      </c>
      <c r="D46" t="s" s="44">
        <v>632</v>
      </c>
      <c r="E46" t="s" s="44">
        <v>1471</v>
      </c>
      <c r="F46" s="47" cm="1">
        <f t="array" ref="F46">RAND()*6</f>
        <v>2.35280950103748</v>
      </c>
      <c r="G46" t="s" s="44">
        <v>41</v>
      </c>
      <c r="H46" s="56"/>
      <c r="I46" s="32"/>
    </row>
    <row r="47" ht="9" customHeight="1" hidden="1">
      <c r="A47" t="s" s="44">
        <v>41</v>
      </c>
      <c r="B47" t="s" s="44">
        <v>42</v>
      </c>
      <c r="C47" t="s" s="44">
        <v>2005</v>
      </c>
      <c r="D47" t="s" s="44">
        <v>635</v>
      </c>
      <c r="E47" t="s" s="44">
        <v>1471</v>
      </c>
      <c r="F47" s="47" cm="1">
        <f t="array" ref="F47">RAND()*6</f>
        <v>1.36660934304229</v>
      </c>
      <c r="G47" t="s" s="44">
        <v>41</v>
      </c>
      <c r="H47" s="56"/>
      <c r="I47" s="32"/>
    </row>
    <row r="48" ht="25.5" customHeight="1" hidden="1">
      <c r="A48" t="s" s="44">
        <v>41</v>
      </c>
      <c r="B48" t="s" s="44">
        <v>423</v>
      </c>
      <c r="C48" t="s" s="44">
        <v>2897</v>
      </c>
      <c r="D48" t="s" s="44">
        <v>639</v>
      </c>
      <c r="E48" t="s" s="44">
        <v>1471</v>
      </c>
      <c r="F48" s="47" cm="1">
        <f t="array" ref="F48">RAND()*6</f>
        <v>5.04123170370492</v>
      </c>
      <c r="G48" t="s" s="44">
        <v>41</v>
      </c>
      <c r="H48" s="56"/>
      <c r="I48" s="32"/>
    </row>
    <row r="49" ht="9" customHeight="1" hidden="1">
      <c r="A49" t="s" s="44">
        <v>41</v>
      </c>
      <c r="B49" t="s" s="44">
        <v>42</v>
      </c>
      <c r="C49" t="s" s="44">
        <v>1653</v>
      </c>
      <c r="D49" t="s" s="44">
        <v>642</v>
      </c>
      <c r="E49" t="s" s="44">
        <v>1471</v>
      </c>
      <c r="F49" s="47" cm="1">
        <f t="array" ref="F49">RAND()*6</f>
        <v>0.263046808917364</v>
      </c>
      <c r="G49" t="s" s="44">
        <v>41</v>
      </c>
      <c r="H49" s="56"/>
      <c r="I49" s="32"/>
    </row>
    <row r="50" ht="9" customHeight="1" hidden="1">
      <c r="A50" t="s" s="44">
        <v>41</v>
      </c>
      <c r="B50" t="s" s="44">
        <v>838</v>
      </c>
      <c r="C50" t="s" s="44">
        <v>2010</v>
      </c>
      <c r="D50" t="s" s="44">
        <v>645</v>
      </c>
      <c r="E50" t="s" s="44">
        <v>1471</v>
      </c>
      <c r="F50" s="47" cm="1">
        <f t="array" ref="F50">RAND()*6</f>
        <v>4.85657435878932</v>
      </c>
      <c r="G50" t="s" s="44">
        <v>41</v>
      </c>
      <c r="H50" s="56"/>
      <c r="I50" s="32"/>
    </row>
    <row r="51" ht="9" customHeight="1" hidden="1">
      <c r="A51" t="s" s="44">
        <v>41</v>
      </c>
      <c r="B51" t="s" s="44">
        <v>838</v>
      </c>
      <c r="C51" t="s" s="44">
        <v>2012</v>
      </c>
      <c r="D51" t="s" s="44">
        <v>645</v>
      </c>
      <c r="E51" t="s" s="44">
        <v>1471</v>
      </c>
      <c r="F51" s="47" cm="1">
        <f t="array" ref="F51">RAND()*6</f>
        <v>0.159516941624939</v>
      </c>
      <c r="G51" t="s" s="44">
        <v>41</v>
      </c>
      <c r="H51" s="56"/>
      <c r="I51" s="32"/>
    </row>
    <row r="52" ht="9" customHeight="1" hidden="1">
      <c r="A52" t="s" s="44">
        <v>41</v>
      </c>
      <c r="B52" t="s" s="44">
        <v>423</v>
      </c>
      <c r="C52" t="s" s="44">
        <v>2016</v>
      </c>
      <c r="D52" t="s" s="44">
        <v>648</v>
      </c>
      <c r="E52" t="s" s="44">
        <v>1471</v>
      </c>
      <c r="F52" s="47" cm="1">
        <f t="array" ref="F52">RAND()*6</f>
        <v>5.73512391575304</v>
      </c>
      <c r="G52" t="s" s="44">
        <v>41</v>
      </c>
      <c r="H52" s="56"/>
      <c r="I52" s="32"/>
    </row>
    <row r="53" ht="9" customHeight="1" hidden="1">
      <c r="A53" t="s" s="44">
        <v>41</v>
      </c>
      <c r="B53" t="s" s="44">
        <v>838</v>
      </c>
      <c r="C53" t="s" s="44">
        <v>2018</v>
      </c>
      <c r="D53" t="s" s="44">
        <v>651</v>
      </c>
      <c r="E53" t="s" s="44">
        <v>1471</v>
      </c>
      <c r="F53" s="47" cm="1">
        <f t="array" ref="F53">RAND()*6</f>
        <v>5.88368774087643</v>
      </c>
      <c r="G53" t="s" s="44">
        <v>41</v>
      </c>
      <c r="H53" s="56"/>
      <c r="I53" s="32"/>
    </row>
    <row r="54" ht="9" customHeight="1" hidden="1">
      <c r="A54" t="s" s="44">
        <v>41</v>
      </c>
      <c r="B54" t="s" s="44">
        <v>838</v>
      </c>
      <c r="C54" t="s" s="44">
        <v>2020</v>
      </c>
      <c r="D54" t="s" s="44">
        <v>654</v>
      </c>
      <c r="E54" t="s" s="44">
        <v>1471</v>
      </c>
      <c r="F54" s="47" cm="1">
        <f t="array" ref="F54">RAND()*6</f>
        <v>5.88974373080021</v>
      </c>
      <c r="G54" t="s" s="44">
        <v>41</v>
      </c>
      <c r="H54" s="56"/>
      <c r="I54" s="32"/>
    </row>
    <row r="55" ht="16" customHeight="1">
      <c r="A55" t="s" s="44">
        <v>41</v>
      </c>
      <c r="B55" t="s" s="44">
        <v>57</v>
      </c>
      <c r="C55" t="s" s="44">
        <v>2022</v>
      </c>
      <c r="D55" t="s" s="44">
        <v>657</v>
      </c>
      <c r="E55" t="s" s="44">
        <v>1471</v>
      </c>
      <c r="F55" s="47" cm="1">
        <f t="array" ref="F55">RAND()*6</f>
        <v>5.46455564754697</v>
      </c>
      <c r="G55" t="s" s="44">
        <v>41</v>
      </c>
      <c r="H55" s="56"/>
      <c r="I55" s="32"/>
    </row>
    <row r="56" ht="16" customHeight="1">
      <c r="A56" t="s" s="44">
        <v>41</v>
      </c>
      <c r="B56" t="s" s="44">
        <v>449</v>
      </c>
      <c r="C56" t="s" s="44">
        <v>2024</v>
      </c>
      <c r="D56" t="s" s="44">
        <v>660</v>
      </c>
      <c r="E56" t="s" s="44">
        <v>1471</v>
      </c>
      <c r="F56" s="47" cm="1">
        <f t="array" ref="F56">RAND()*6</f>
        <v>5.93660790475069</v>
      </c>
      <c r="G56" t="s" s="44">
        <v>41</v>
      </c>
      <c r="H56" s="56"/>
      <c r="I56" s="32"/>
    </row>
    <row r="57" ht="16" customHeight="1">
      <c r="A57" t="s" s="44">
        <v>41</v>
      </c>
      <c r="B57" t="s" s="44">
        <v>423</v>
      </c>
      <c r="C57" t="s" s="44">
        <v>2026</v>
      </c>
      <c r="D57" t="s" s="44">
        <v>663</v>
      </c>
      <c r="E57" t="s" s="44">
        <v>1471</v>
      </c>
      <c r="F57" s="47" cm="1">
        <f t="array" ref="F57">RAND()*6</f>
        <v>0.724277775616709</v>
      </c>
      <c r="G57" t="s" s="44">
        <v>41</v>
      </c>
      <c r="H57" s="56"/>
      <c r="I57" s="32"/>
    </row>
    <row r="58" ht="16" customHeight="1">
      <c r="A58" t="s" s="44">
        <v>41</v>
      </c>
      <c r="B58" t="s" s="44">
        <v>449</v>
      </c>
      <c r="C58" t="s" s="44">
        <v>2028</v>
      </c>
      <c r="D58" t="s" s="44">
        <v>663</v>
      </c>
      <c r="E58" t="s" s="44">
        <v>1471</v>
      </c>
      <c r="F58" s="47" cm="1">
        <f t="array" ref="F58">RAND()*6</f>
        <v>5.76203827359296</v>
      </c>
      <c r="G58" t="s" s="44">
        <v>41</v>
      </c>
      <c r="H58" s="56"/>
      <c r="I58" s="32"/>
    </row>
    <row r="59" ht="16" customHeight="1">
      <c r="A59" t="s" s="44">
        <v>41</v>
      </c>
      <c r="B59" t="s" s="44">
        <v>838</v>
      </c>
      <c r="C59" t="s" s="44">
        <v>2032</v>
      </c>
      <c r="D59" t="s" s="44">
        <v>666</v>
      </c>
      <c r="E59" t="s" s="44">
        <v>1471</v>
      </c>
      <c r="F59" s="47" cm="1">
        <f t="array" ref="F59">RAND()*6</f>
        <v>3.62472737831138</v>
      </c>
      <c r="G59" t="s" s="44">
        <v>41</v>
      </c>
      <c r="H59" s="56"/>
      <c r="I59" s="32"/>
    </row>
    <row r="60" ht="16" customHeight="1">
      <c r="A60" t="s" s="44">
        <v>41</v>
      </c>
      <c r="B60" t="s" s="44">
        <v>423</v>
      </c>
      <c r="C60" t="s" s="44">
        <v>2898</v>
      </c>
      <c r="D60" t="s" s="44">
        <v>669</v>
      </c>
      <c r="E60" t="s" s="44">
        <v>1471</v>
      </c>
      <c r="F60" s="47" cm="1">
        <f t="array" ref="F60">RAND()*6</f>
        <v>4.09420008891011</v>
      </c>
      <c r="G60" t="s" s="44">
        <v>41</v>
      </c>
      <c r="H60" s="56"/>
      <c r="I60" s="32"/>
    </row>
    <row r="61" ht="16" customHeight="1">
      <c r="A61" t="s" s="44">
        <v>41</v>
      </c>
      <c r="B61" t="s" s="44">
        <v>838</v>
      </c>
      <c r="C61" t="s" s="44">
        <v>2036</v>
      </c>
      <c r="D61" t="s" s="44">
        <v>675</v>
      </c>
      <c r="E61" t="s" s="44">
        <v>1471</v>
      </c>
      <c r="F61" s="47" cm="1">
        <f t="array" ref="F61">RAND()*6</f>
        <v>0.23706529900717</v>
      </c>
      <c r="G61" t="s" s="44">
        <v>41</v>
      </c>
      <c r="H61" s="56"/>
      <c r="I61" s="32"/>
    </row>
    <row r="62" ht="16" customHeight="1">
      <c r="A62" t="s" s="44">
        <v>41</v>
      </c>
      <c r="B62" t="s" s="44">
        <v>423</v>
      </c>
      <c r="C62" t="s" s="44">
        <v>2899</v>
      </c>
      <c r="D62" t="s" s="44">
        <v>678</v>
      </c>
      <c r="E62" t="s" s="44">
        <v>1471</v>
      </c>
      <c r="F62" s="47" cm="1">
        <f t="array" ref="F62">RAND()*6</f>
        <v>0.284126343370559</v>
      </c>
      <c r="G62" t="s" s="44">
        <v>41</v>
      </c>
      <c r="H62" s="56"/>
      <c r="I62" s="32"/>
    </row>
    <row r="63" ht="9" customHeight="1" hidden="1">
      <c r="A63" t="s" s="44">
        <v>41</v>
      </c>
      <c r="B63" t="s" s="44">
        <v>42</v>
      </c>
      <c r="C63" t="s" s="44">
        <v>2524</v>
      </c>
      <c r="D63" t="s" s="44">
        <v>612</v>
      </c>
      <c r="E63" t="s" s="44">
        <v>2174</v>
      </c>
      <c r="F63" s="47" cm="1">
        <f t="array" ref="F63">RAND()*6</f>
        <v>4.03891957061915</v>
      </c>
      <c r="G63" t="s" s="44">
        <v>41</v>
      </c>
      <c r="H63" s="56"/>
      <c r="I63" s="32"/>
    </row>
    <row r="64" ht="9" customHeight="1" hidden="1">
      <c r="A64" t="s" s="44">
        <v>41</v>
      </c>
      <c r="B64" t="s" s="44">
        <v>42</v>
      </c>
      <c r="C64" t="s" s="44">
        <v>2528</v>
      </c>
      <c r="D64" t="s" s="44">
        <v>618</v>
      </c>
      <c r="E64" t="s" s="44">
        <v>2174</v>
      </c>
      <c r="F64" s="47" cm="1">
        <f t="array" ref="F64">RAND()*6</f>
        <v>2.24948718238215</v>
      </c>
      <c r="G64" t="s" s="44">
        <v>41</v>
      </c>
      <c r="H64" s="56"/>
      <c r="I64" s="32"/>
    </row>
    <row r="65" ht="9" customHeight="1" hidden="1">
      <c r="A65" t="s" s="44">
        <v>41</v>
      </c>
      <c r="B65" t="s" s="44">
        <v>42</v>
      </c>
      <c r="C65" t="s" s="44">
        <v>2530</v>
      </c>
      <c r="D65" t="s" s="44">
        <v>621</v>
      </c>
      <c r="E65" t="s" s="44">
        <v>2174</v>
      </c>
      <c r="F65" s="47" cm="1">
        <f t="array" ref="F65">RAND()*6</f>
        <v>3.48391263092224</v>
      </c>
      <c r="G65" t="s" s="44">
        <v>41</v>
      </c>
      <c r="H65" s="56"/>
      <c r="I65" s="32"/>
    </row>
    <row r="66" ht="9" customHeight="1" hidden="1">
      <c r="A66" t="s" s="44">
        <v>41</v>
      </c>
      <c r="B66" t="s" s="44">
        <v>423</v>
      </c>
      <c r="C66" t="s" s="44">
        <v>2247</v>
      </c>
      <c r="D66" t="s" s="44">
        <v>624</v>
      </c>
      <c r="E66" t="s" s="44">
        <v>2174</v>
      </c>
      <c r="F66" s="47" cm="1">
        <f t="array" ref="F66">RAND()*6</f>
        <v>5.43851527312168</v>
      </c>
      <c r="G66" t="s" s="44">
        <v>41</v>
      </c>
      <c r="H66" s="56"/>
      <c r="I66" s="32"/>
    </row>
    <row r="67" ht="9" customHeight="1" hidden="1">
      <c r="A67" t="s" s="44">
        <v>41</v>
      </c>
      <c r="B67" t="s" s="44">
        <v>838</v>
      </c>
      <c r="C67" t="s" s="44">
        <v>2532</v>
      </c>
      <c r="D67" t="s" s="44">
        <v>627</v>
      </c>
      <c r="E67" t="s" s="44">
        <v>2174</v>
      </c>
      <c r="F67" s="47" cm="1">
        <f t="array" ref="F67">RAND()*6</f>
        <v>3.69917363484927</v>
      </c>
      <c r="G67" t="s" s="44">
        <v>41</v>
      </c>
      <c r="H67" s="56"/>
      <c r="I67" s="32"/>
    </row>
    <row r="68" ht="9" customHeight="1" hidden="1">
      <c r="A68" t="s" s="44">
        <v>41</v>
      </c>
      <c r="B68" t="s" s="44">
        <v>838</v>
      </c>
      <c r="C68" t="s" s="44">
        <v>2534</v>
      </c>
      <c r="D68" t="s" s="44">
        <v>635</v>
      </c>
      <c r="E68" t="s" s="44">
        <v>2174</v>
      </c>
      <c r="F68" s="47" cm="1">
        <f t="array" ref="F68">RAND()*6</f>
        <v>1.75910511373243</v>
      </c>
      <c r="G68" t="s" s="44">
        <v>41</v>
      </c>
      <c r="H68" s="56"/>
      <c r="I68" s="32"/>
    </row>
    <row r="69" ht="9" customHeight="1" hidden="1">
      <c r="A69" t="s" s="44">
        <v>41</v>
      </c>
      <c r="B69" t="s" s="44">
        <v>57</v>
      </c>
      <c r="C69" t="s" s="44">
        <v>2546</v>
      </c>
      <c r="D69" t="s" s="44">
        <v>651</v>
      </c>
      <c r="E69" t="s" s="44">
        <v>2174</v>
      </c>
      <c r="F69" s="47" cm="1">
        <f t="array" ref="F69">RAND()*6</f>
        <v>1.02421096708045</v>
      </c>
      <c r="G69" t="s" s="44">
        <v>41</v>
      </c>
      <c r="H69" s="56"/>
      <c r="I69" s="32"/>
    </row>
    <row r="70" ht="16" customHeight="1">
      <c r="A70" t="s" s="44">
        <v>41</v>
      </c>
      <c r="B70" t="s" s="44">
        <v>838</v>
      </c>
      <c r="C70" t="s" s="44">
        <v>2900</v>
      </c>
      <c r="D70" t="s" s="44">
        <v>657</v>
      </c>
      <c r="E70" t="s" s="44">
        <v>2174</v>
      </c>
      <c r="F70" s="47" cm="1">
        <f t="array" ref="F70">RAND()*6</f>
        <v>4.94169300844315</v>
      </c>
      <c r="G70" t="s" s="44">
        <v>41</v>
      </c>
      <c r="H70" s="56"/>
      <c r="I70" s="32"/>
    </row>
    <row r="71" ht="16" customHeight="1">
      <c r="A71" t="s" s="44">
        <v>41</v>
      </c>
      <c r="B71" t="s" s="44">
        <v>838</v>
      </c>
      <c r="C71" t="s" s="44">
        <v>2901</v>
      </c>
      <c r="D71" t="s" s="44">
        <v>660</v>
      </c>
      <c r="E71" t="s" s="44">
        <v>2174</v>
      </c>
      <c r="F71" s="47" cm="1">
        <f t="array" ref="F71">RAND()*6</f>
        <v>3.03069627626304</v>
      </c>
      <c r="G71" t="s" s="44">
        <v>41</v>
      </c>
      <c r="H71" s="56"/>
      <c r="I71" s="32"/>
    </row>
    <row r="72" ht="25.6" customHeight="1">
      <c r="A72" t="s" s="44">
        <v>41</v>
      </c>
      <c r="B72" t="s" s="44">
        <v>423</v>
      </c>
      <c r="C72" t="s" s="44">
        <v>2552</v>
      </c>
      <c r="D72" t="s" s="44">
        <v>666</v>
      </c>
      <c r="E72" t="s" s="44">
        <v>2174</v>
      </c>
      <c r="F72" s="47" cm="1">
        <f t="array" ref="F72">RAND()*6</f>
        <v>3.46747446757307</v>
      </c>
      <c r="G72" t="s" s="44">
        <v>41</v>
      </c>
      <c r="H72" s="56"/>
      <c r="I72" s="32"/>
    </row>
    <row r="73" ht="16" customHeight="1">
      <c r="A73" t="s" s="44">
        <v>41</v>
      </c>
      <c r="B73" t="s" s="44">
        <v>838</v>
      </c>
      <c r="C73" t="s" s="44">
        <v>2902</v>
      </c>
      <c r="D73" t="s" s="44">
        <v>672</v>
      </c>
      <c r="E73" t="s" s="44">
        <v>2174</v>
      </c>
      <c r="F73" s="47" cm="1">
        <f t="array" ref="F73">RAND()*6</f>
        <v>4.74184720394121</v>
      </c>
      <c r="G73" t="s" s="44">
        <v>41</v>
      </c>
      <c r="H73" s="56"/>
      <c r="I73" s="32"/>
    </row>
    <row r="74" ht="16" customHeight="1">
      <c r="A74" t="s" s="57">
        <v>2661</v>
      </c>
      <c r="B74" t="s" s="57">
        <v>2667</v>
      </c>
      <c r="C74" t="s" s="57">
        <v>2903</v>
      </c>
      <c r="D74" t="s" s="57">
        <v>2720</v>
      </c>
      <c r="E74" t="s" s="57">
        <v>2665</v>
      </c>
      <c r="F74" s="47" cm="1">
        <f t="array" ref="F74">RAND()*6</f>
        <v>3.86742405026402</v>
      </c>
      <c r="G74" t="s" s="44">
        <v>41</v>
      </c>
      <c r="H74" s="56"/>
      <c r="I74" s="32"/>
    </row>
    <row r="75" ht="16" customHeight="1">
      <c r="A75" t="s" s="57">
        <v>2661</v>
      </c>
      <c r="B75" t="s" s="57">
        <v>2667</v>
      </c>
      <c r="C75" t="s" s="57">
        <v>2722</v>
      </c>
      <c r="D75" t="s" s="57">
        <v>2723</v>
      </c>
      <c r="E75" t="s" s="57">
        <v>2665</v>
      </c>
      <c r="F75" s="47" cm="1">
        <f t="array" ref="F75">RAND()*6</f>
        <v>4.28310112518174</v>
      </c>
      <c r="G75" t="s" s="44">
        <v>41</v>
      </c>
      <c r="H75" s="56"/>
      <c r="I75" s="32"/>
    </row>
    <row r="76" ht="16" customHeight="1">
      <c r="A76" t="s" s="57">
        <v>2661</v>
      </c>
      <c r="B76" t="s" s="57">
        <v>2751</v>
      </c>
      <c r="C76" t="s" s="57">
        <v>2904</v>
      </c>
      <c r="D76" t="s" s="57">
        <v>2905</v>
      </c>
      <c r="E76" t="s" s="57">
        <v>2736</v>
      </c>
      <c r="F76" s="47" cm="1">
        <f t="array" ref="F76">RAND()*6</f>
        <v>4.62437459587349</v>
      </c>
      <c r="G76" t="s" s="44">
        <v>41</v>
      </c>
      <c r="H76" s="56"/>
      <c r="I76" s="32"/>
    </row>
    <row r="77" ht="9" customHeight="1" hidden="1">
      <c r="A77" t="s" s="44">
        <v>2906</v>
      </c>
      <c r="B77" t="s" s="44">
        <v>2907</v>
      </c>
      <c r="C77" t="s" s="44">
        <v>2908</v>
      </c>
      <c r="D77" t="s" s="44">
        <v>618</v>
      </c>
      <c r="E77" t="s" s="44">
        <v>2909</v>
      </c>
      <c r="F77" s="47" cm="1">
        <f t="array" ref="F77">RAND()*6</f>
        <v>5.3427935295408</v>
      </c>
      <c r="G77" t="s" s="44">
        <v>1987</v>
      </c>
      <c r="H77" s="56"/>
      <c r="I77" s="32"/>
    </row>
    <row r="78" ht="9" customHeight="1" hidden="1">
      <c r="A78" t="s" s="44">
        <v>2906</v>
      </c>
      <c r="B78" t="s" s="44">
        <v>2907</v>
      </c>
      <c r="C78" t="s" s="44">
        <v>2910</v>
      </c>
      <c r="D78" t="s" s="44">
        <v>2911</v>
      </c>
      <c r="E78" t="s" s="44">
        <v>2912</v>
      </c>
      <c r="F78" s="47" cm="1">
        <f t="array" ref="F78">RAND()*6</f>
        <v>5.53193814674492</v>
      </c>
      <c r="G78" t="s" s="44">
        <v>1987</v>
      </c>
      <c r="H78" s="56"/>
      <c r="I78" s="32"/>
    </row>
    <row r="79" ht="9" customHeight="1" hidden="1">
      <c r="A79" t="s" s="58">
        <v>2906</v>
      </c>
      <c r="B79" t="s" s="44">
        <v>2907</v>
      </c>
      <c r="C79" t="s" s="44">
        <v>2913</v>
      </c>
      <c r="D79" t="s" s="44">
        <v>2914</v>
      </c>
      <c r="E79" t="s" s="44">
        <v>2909</v>
      </c>
      <c r="F79" s="47" cm="1">
        <f t="array" ref="F79">RAND()*6</f>
        <v>5.39143446804407</v>
      </c>
      <c r="G79" t="s" s="44">
        <v>1987</v>
      </c>
      <c r="H79" s="56"/>
      <c r="I79" s="32"/>
    </row>
    <row r="80" ht="9" customHeight="1" hidden="1">
      <c r="A80" s="59"/>
      <c r="B80" s="60"/>
      <c r="C80" s="60"/>
      <c r="D80" s="60"/>
      <c r="E80" s="60"/>
      <c r="F80" s="60"/>
      <c r="G80" s="38"/>
      <c r="H80" s="56"/>
      <c r="I80" s="32"/>
    </row>
    <row r="81" ht="9" customHeight="1" hidden="1">
      <c r="A81" s="59"/>
      <c r="B81" s="60"/>
      <c r="C81" s="60"/>
      <c r="D81" s="60"/>
      <c r="E81" s="60"/>
      <c r="F81" s="60"/>
      <c r="G81" s="38"/>
      <c r="H81" s="56"/>
      <c r="I81" s="32"/>
    </row>
    <row r="82" ht="9" customHeight="1" hidden="1">
      <c r="A82" s="59"/>
      <c r="B82" s="60"/>
      <c r="C82" s="60"/>
      <c r="D82" s="60"/>
      <c r="E82" s="60"/>
      <c r="F82" s="60"/>
      <c r="G82" s="38"/>
      <c r="H82" s="56"/>
      <c r="I82" s="32"/>
    </row>
    <row r="83" ht="9" customHeight="1" hidden="1">
      <c r="A83" s="59"/>
      <c r="B83" s="60"/>
      <c r="C83" s="60"/>
      <c r="D83" s="60"/>
      <c r="E83" s="60"/>
      <c r="F83" s="60"/>
      <c r="G83" s="38"/>
      <c r="H83" s="56"/>
      <c r="I83" s="32"/>
    </row>
    <row r="84" ht="9" customHeight="1" hidden="1">
      <c r="A84" s="59"/>
      <c r="B84" s="60"/>
      <c r="C84" s="60"/>
      <c r="D84" s="60"/>
      <c r="E84" s="60"/>
      <c r="F84" s="60"/>
      <c r="G84" s="38"/>
      <c r="H84" s="56"/>
      <c r="I84" s="32"/>
    </row>
    <row r="85" ht="9" customHeight="1" hidden="1">
      <c r="A85" s="59"/>
      <c r="B85" s="60"/>
      <c r="C85" s="60"/>
      <c r="D85" s="60"/>
      <c r="E85" s="60"/>
      <c r="F85" s="60"/>
      <c r="G85" s="38"/>
      <c r="H85" s="56"/>
      <c r="I85" s="32"/>
    </row>
    <row r="86" ht="9" customHeight="1" hidden="1">
      <c r="A86" s="59"/>
      <c r="B86" s="60"/>
      <c r="C86" s="60"/>
      <c r="D86" s="60"/>
      <c r="E86" s="60"/>
      <c r="F86" s="60"/>
      <c r="G86" s="38"/>
      <c r="H86" s="56"/>
      <c r="I86" s="32"/>
    </row>
    <row r="87" ht="9" customHeight="1" hidden="1">
      <c r="A87" s="59"/>
      <c r="B87" s="60"/>
      <c r="C87" s="60"/>
      <c r="D87" s="60"/>
      <c r="E87" s="60"/>
      <c r="F87" s="60"/>
      <c r="G87" s="38"/>
      <c r="H87" s="56"/>
      <c r="I87" s="32"/>
    </row>
    <row r="88" ht="9" customHeight="1" hidden="1">
      <c r="A88" s="59"/>
      <c r="B88" s="60"/>
      <c r="C88" s="60"/>
      <c r="D88" s="60"/>
      <c r="E88" s="60"/>
      <c r="F88" s="60"/>
      <c r="G88" s="38"/>
      <c r="H88" s="56"/>
      <c r="I88" s="32"/>
    </row>
    <row r="89" ht="9" customHeight="1" hidden="1">
      <c r="A89" s="59"/>
      <c r="B89" s="60"/>
      <c r="C89" s="60"/>
      <c r="D89" s="60"/>
      <c r="E89" s="60"/>
      <c r="F89" s="60"/>
      <c r="G89" s="38"/>
      <c r="H89" s="56"/>
      <c r="I89" s="32"/>
    </row>
    <row r="90" ht="9" customHeight="1" hidden="1">
      <c r="A90" s="59"/>
      <c r="B90" s="60"/>
      <c r="C90" s="60"/>
      <c r="D90" s="60"/>
      <c r="E90" s="60"/>
      <c r="F90" s="60"/>
      <c r="G90" s="38"/>
      <c r="H90" s="56"/>
      <c r="I90" s="32"/>
    </row>
    <row r="91" ht="9" customHeight="1" hidden="1">
      <c r="A91" s="59"/>
      <c r="B91" s="60"/>
      <c r="C91" s="60"/>
      <c r="D91" s="60"/>
      <c r="E91" s="60"/>
      <c r="F91" s="60"/>
      <c r="G91" s="38"/>
      <c r="H91" s="56"/>
      <c r="I91" s="32"/>
    </row>
    <row r="92" ht="9" customHeight="1" hidden="1">
      <c r="A92" s="59"/>
      <c r="B92" s="60"/>
      <c r="C92" s="60"/>
      <c r="D92" s="60"/>
      <c r="E92" s="60"/>
      <c r="F92" s="60"/>
      <c r="G92" s="38"/>
      <c r="H92" s="56"/>
      <c r="I92" s="32"/>
    </row>
    <row r="93" ht="9" customHeight="1" hidden="1">
      <c r="A93" s="59"/>
      <c r="B93" s="60"/>
      <c r="C93" s="60"/>
      <c r="D93" s="60"/>
      <c r="E93" s="60"/>
      <c r="F93" s="60"/>
      <c r="G93" s="38"/>
      <c r="H93" s="56"/>
      <c r="I93" s="32"/>
    </row>
    <row r="94" ht="9" customHeight="1" hidden="1">
      <c r="A94" s="59"/>
      <c r="B94" s="60"/>
      <c r="C94" s="60"/>
      <c r="D94" s="60"/>
      <c r="E94" s="60"/>
      <c r="F94" s="60"/>
      <c r="G94" s="38"/>
      <c r="H94" s="56"/>
      <c r="I94" s="32"/>
    </row>
    <row r="95" ht="9" customHeight="1" hidden="1">
      <c r="A95" s="59"/>
      <c r="B95" s="60"/>
      <c r="C95" s="60"/>
      <c r="D95" s="60"/>
      <c r="E95" s="60"/>
      <c r="F95" s="60"/>
      <c r="G95" s="38"/>
      <c r="H95" s="56"/>
      <c r="I95" s="32"/>
    </row>
    <row r="96" ht="9" customHeight="1" hidden="1">
      <c r="A96" s="59"/>
      <c r="B96" s="60"/>
      <c r="C96" s="60"/>
      <c r="D96" s="60"/>
      <c r="E96" s="60"/>
      <c r="F96" s="60"/>
      <c r="G96" s="38"/>
      <c r="H96" s="56"/>
      <c r="I96" s="32"/>
    </row>
    <row r="97" ht="9" customHeight="1" hidden="1">
      <c r="A97" s="59"/>
      <c r="B97" s="60"/>
      <c r="C97" s="60"/>
      <c r="D97" s="60"/>
      <c r="E97" s="60"/>
      <c r="F97" s="60"/>
      <c r="G97" s="38"/>
      <c r="H97" s="56"/>
      <c r="I97" s="32"/>
    </row>
    <row r="98" ht="9" customHeight="1" hidden="1">
      <c r="A98" s="59"/>
      <c r="B98" s="60"/>
      <c r="C98" s="60"/>
      <c r="D98" s="60"/>
      <c r="E98" s="60"/>
      <c r="F98" s="60"/>
      <c r="G98" s="38"/>
      <c r="H98" s="56"/>
      <c r="I98" s="32"/>
    </row>
    <row r="99" ht="9" customHeight="1" hidden="1">
      <c r="A99" s="59"/>
      <c r="B99" s="60"/>
      <c r="C99" s="60"/>
      <c r="D99" s="60"/>
      <c r="E99" s="60"/>
      <c r="F99" s="60"/>
      <c r="G99" s="38"/>
      <c r="H99" s="56"/>
      <c r="I99" s="32"/>
    </row>
    <row r="100" ht="9" customHeight="1" hidden="1">
      <c r="A100" s="59"/>
      <c r="B100" s="60"/>
      <c r="C100" s="60"/>
      <c r="D100" s="60"/>
      <c r="E100" s="60"/>
      <c r="F100" s="60"/>
      <c r="G100" s="38"/>
      <c r="H100" s="56"/>
      <c r="I100" s="32"/>
    </row>
    <row r="101" ht="9" customHeight="1" hidden="1">
      <c r="A101" s="59"/>
      <c r="B101" s="60"/>
      <c r="C101" s="60"/>
      <c r="D101" s="60"/>
      <c r="E101" s="60"/>
      <c r="F101" s="60"/>
      <c r="G101" s="38"/>
      <c r="H101" s="56"/>
      <c r="I101" s="32"/>
    </row>
    <row r="102" ht="9" customHeight="1" hidden="1">
      <c r="A102" s="59"/>
      <c r="B102" s="60"/>
      <c r="C102" s="60"/>
      <c r="D102" s="60"/>
      <c r="E102" s="60"/>
      <c r="F102" s="60"/>
      <c r="G102" s="38"/>
      <c r="H102" s="61"/>
      <c r="I102" s="7"/>
    </row>
    <row r="103" ht="9" customHeight="1" hidden="1">
      <c r="A103" s="59"/>
      <c r="B103" s="60"/>
      <c r="C103" s="60"/>
      <c r="D103" s="60"/>
      <c r="E103" s="60"/>
      <c r="F103" s="60"/>
      <c r="G103" s="38"/>
      <c r="H103" s="61"/>
      <c r="I103" s="7"/>
    </row>
    <row r="104" ht="9" customHeight="1" hidden="1">
      <c r="A104" s="59"/>
      <c r="B104" s="60"/>
      <c r="C104" s="60"/>
      <c r="D104" s="60"/>
      <c r="E104" s="60"/>
      <c r="F104" s="60"/>
      <c r="G104" s="38"/>
      <c r="H104" s="56"/>
      <c r="I104" s="7"/>
    </row>
    <row r="105" ht="9" customHeight="1" hidden="1">
      <c r="A105" s="59"/>
      <c r="B105" s="60"/>
      <c r="C105" s="60"/>
      <c r="D105" s="60"/>
      <c r="E105" s="60"/>
      <c r="F105" s="60"/>
      <c r="G105" s="38"/>
      <c r="H105" s="61"/>
      <c r="I105" s="7"/>
    </row>
    <row r="106" ht="9" customHeight="1" hidden="1">
      <c r="A106" s="59"/>
      <c r="B106" s="60"/>
      <c r="C106" s="60"/>
      <c r="D106" s="60"/>
      <c r="E106" s="60"/>
      <c r="F106" s="60"/>
      <c r="G106" s="38"/>
      <c r="H106" s="61"/>
      <c r="I106" s="7"/>
    </row>
    <row r="107" ht="9" customHeight="1" hidden="1">
      <c r="A107" s="59"/>
      <c r="B107" s="60"/>
      <c r="C107" s="60"/>
      <c r="D107" s="60"/>
      <c r="E107" s="60"/>
      <c r="F107" s="60"/>
      <c r="G107" s="38"/>
      <c r="H107" s="56"/>
      <c r="I107" s="7"/>
    </row>
    <row r="108" ht="9" customHeight="1" hidden="1">
      <c r="A108" s="59"/>
      <c r="B108" s="60"/>
      <c r="C108" s="60"/>
      <c r="D108" s="60"/>
      <c r="E108" s="60"/>
      <c r="F108" s="60"/>
      <c r="G108" s="38"/>
      <c r="H108" s="56"/>
      <c r="I108" s="7"/>
    </row>
    <row r="109" ht="9" customHeight="1" hidden="1">
      <c r="A109" s="59"/>
      <c r="B109" s="60"/>
      <c r="C109" s="60"/>
      <c r="D109" s="60"/>
      <c r="E109" s="60"/>
      <c r="F109" s="60"/>
      <c r="G109" s="60"/>
      <c r="H109" s="6"/>
      <c r="I109" s="7"/>
    </row>
    <row r="110" ht="9" customHeight="1" hidden="1">
      <c r="A110" s="59"/>
      <c r="B110" s="60"/>
      <c r="C110" s="60"/>
      <c r="D110" s="60"/>
      <c r="E110" s="60"/>
      <c r="F110" s="60"/>
      <c r="G110" s="60"/>
      <c r="H110" s="6"/>
      <c r="I110" s="7"/>
    </row>
    <row r="111" ht="9" customHeight="1" hidden="1">
      <c r="A111" s="59"/>
      <c r="B111" s="60"/>
      <c r="C111" s="60"/>
      <c r="D111" s="60"/>
      <c r="E111" s="60"/>
      <c r="F111" s="60"/>
      <c r="G111" s="60"/>
      <c r="H111" s="6"/>
      <c r="I111" s="7"/>
    </row>
    <row r="112" ht="9" customHeight="1" hidden="1">
      <c r="A112" s="59"/>
      <c r="B112" s="60"/>
      <c r="C112" s="60"/>
      <c r="D112" s="60"/>
      <c r="E112" s="60"/>
      <c r="F112" s="60"/>
      <c r="G112" s="60"/>
      <c r="H112" s="6"/>
      <c r="I112" s="7"/>
    </row>
    <row r="113" ht="9" customHeight="1" hidden="1">
      <c r="A113" s="59"/>
      <c r="B113" s="60"/>
      <c r="C113" s="60"/>
      <c r="D113" s="60"/>
      <c r="E113" s="60"/>
      <c r="F113" s="60"/>
      <c r="G113" s="60"/>
      <c r="H113" s="6"/>
      <c r="I113" s="7"/>
    </row>
    <row r="114" ht="9" customHeight="1" hidden="1">
      <c r="A114" s="59"/>
      <c r="B114" s="60"/>
      <c r="C114" s="60"/>
      <c r="D114" s="60"/>
      <c r="E114" s="60"/>
      <c r="F114" s="60"/>
      <c r="G114" s="60"/>
      <c r="H114" s="6"/>
      <c r="I114" s="7"/>
    </row>
    <row r="115" ht="9" customHeight="1" hidden="1">
      <c r="A115" s="59"/>
      <c r="B115" s="60"/>
      <c r="C115" s="60"/>
      <c r="D115" s="60"/>
      <c r="E115" s="60"/>
      <c r="F115" s="60"/>
      <c r="G115" s="60"/>
      <c r="H115" s="6"/>
      <c r="I115" s="7"/>
    </row>
    <row r="116" ht="9" customHeight="1" hidden="1">
      <c r="A116" s="59"/>
      <c r="B116" s="60"/>
      <c r="C116" s="60"/>
      <c r="D116" s="60"/>
      <c r="E116" s="60"/>
      <c r="F116" s="60"/>
      <c r="G116" s="60"/>
      <c r="H116" s="6"/>
      <c r="I116" s="7"/>
    </row>
    <row r="117" ht="9" customHeight="1" hidden="1">
      <c r="A117" s="59"/>
      <c r="B117" s="60"/>
      <c r="C117" s="60"/>
      <c r="D117" s="60"/>
      <c r="E117" s="60"/>
      <c r="F117" s="60"/>
      <c r="G117" s="60"/>
      <c r="H117" s="6"/>
      <c r="I117" s="7"/>
    </row>
    <row r="118" ht="9" customHeight="1" hidden="1">
      <c r="A118" s="59"/>
      <c r="B118" s="60"/>
      <c r="C118" s="60"/>
      <c r="D118" s="60"/>
      <c r="E118" s="60"/>
      <c r="F118" s="60"/>
      <c r="G118" s="60"/>
      <c r="H118" s="6"/>
      <c r="I118" s="7"/>
    </row>
    <row r="119" ht="9" customHeight="1" hidden="1">
      <c r="A119" s="59"/>
      <c r="B119" s="60"/>
      <c r="C119" s="60"/>
      <c r="D119" s="60"/>
      <c r="E119" s="60"/>
      <c r="F119" s="60"/>
      <c r="G119" s="60"/>
      <c r="H119" s="6"/>
      <c r="I119" s="7"/>
    </row>
    <row r="120" ht="9" customHeight="1" hidden="1">
      <c r="A120" s="59"/>
      <c r="B120" s="60"/>
      <c r="C120" s="60"/>
      <c r="D120" s="60"/>
      <c r="E120" s="60"/>
      <c r="F120" s="60"/>
      <c r="G120" s="60"/>
      <c r="H120" s="6"/>
      <c r="I120" s="7"/>
    </row>
    <row r="121" ht="9" customHeight="1" hidden="1">
      <c r="A121" s="59"/>
      <c r="B121" s="60"/>
      <c r="C121" s="60"/>
      <c r="D121" s="60"/>
      <c r="E121" s="60"/>
      <c r="F121" s="60"/>
      <c r="G121" s="60"/>
      <c r="H121" s="6"/>
      <c r="I121" s="7"/>
    </row>
    <row r="122" ht="9" customHeight="1" hidden="1">
      <c r="A122" s="59"/>
      <c r="B122" s="60"/>
      <c r="C122" s="60"/>
      <c r="D122" s="60"/>
      <c r="E122" s="60"/>
      <c r="F122" s="60"/>
      <c r="G122" s="60"/>
      <c r="H122" s="6"/>
      <c r="I122" s="7"/>
    </row>
    <row r="123" ht="9" customHeight="1" hidden="1">
      <c r="A123" s="59"/>
      <c r="B123" s="60"/>
      <c r="C123" s="60"/>
      <c r="D123" s="60"/>
      <c r="E123" s="60"/>
      <c r="F123" s="60"/>
      <c r="G123" s="60"/>
      <c r="H123" s="6"/>
      <c r="I123" s="7"/>
    </row>
    <row r="124" ht="9" customHeight="1" hidden="1">
      <c r="A124" s="59"/>
      <c r="B124" s="60"/>
      <c r="C124" s="60"/>
      <c r="D124" s="60"/>
      <c r="E124" s="60"/>
      <c r="F124" s="60"/>
      <c r="G124" s="60"/>
      <c r="H124" s="6"/>
      <c r="I124" s="7"/>
    </row>
    <row r="125" ht="9" customHeight="1" hidden="1">
      <c r="A125" s="59"/>
      <c r="B125" s="60"/>
      <c r="C125" s="60"/>
      <c r="D125" s="60"/>
      <c r="E125" s="60"/>
      <c r="F125" s="60"/>
      <c r="G125" s="60"/>
      <c r="H125" s="6"/>
      <c r="I125" s="7"/>
    </row>
    <row r="126" ht="9" customHeight="1" hidden="1">
      <c r="A126" s="59"/>
      <c r="B126" s="60"/>
      <c r="C126" s="60"/>
      <c r="D126" s="60"/>
      <c r="E126" s="60"/>
      <c r="F126" s="60"/>
      <c r="G126" s="60"/>
      <c r="H126" s="6"/>
      <c r="I126" s="7"/>
    </row>
    <row r="127" ht="9" customHeight="1" hidden="1">
      <c r="A127" s="59"/>
      <c r="B127" s="60"/>
      <c r="C127" s="60"/>
      <c r="D127" s="60"/>
      <c r="E127" s="60"/>
      <c r="F127" s="60"/>
      <c r="G127" s="60"/>
      <c r="H127" s="6"/>
      <c r="I127" s="7"/>
    </row>
    <row r="128" ht="9" customHeight="1" hidden="1">
      <c r="A128" s="59"/>
      <c r="B128" s="60"/>
      <c r="C128" s="60"/>
      <c r="D128" s="60"/>
      <c r="E128" s="60"/>
      <c r="F128" s="60"/>
      <c r="G128" s="60"/>
      <c r="H128" s="6"/>
      <c r="I128" s="7"/>
    </row>
    <row r="129" ht="9" customHeight="1" hidden="1">
      <c r="A129" s="59"/>
      <c r="B129" s="60"/>
      <c r="C129" s="60"/>
      <c r="D129" s="60"/>
      <c r="E129" s="60"/>
      <c r="F129" s="60"/>
      <c r="G129" s="60"/>
      <c r="H129" s="6"/>
      <c r="I129" s="7"/>
    </row>
    <row r="130" ht="9" customHeight="1" hidden="1">
      <c r="A130" s="59"/>
      <c r="B130" s="60"/>
      <c r="C130" s="60"/>
      <c r="D130" s="60"/>
      <c r="E130" s="60"/>
      <c r="F130" s="60"/>
      <c r="G130" s="60"/>
      <c r="H130" s="6"/>
      <c r="I130" s="7"/>
    </row>
    <row r="131" ht="9" customHeight="1" hidden="1">
      <c r="A131" s="59"/>
      <c r="B131" s="60"/>
      <c r="C131" s="60"/>
      <c r="D131" s="60"/>
      <c r="E131" s="60"/>
      <c r="F131" s="60"/>
      <c r="G131" s="60"/>
      <c r="H131" s="6"/>
      <c r="I131" s="7"/>
    </row>
    <row r="132" ht="9" customHeight="1" hidden="1">
      <c r="A132" s="59"/>
      <c r="B132" s="60"/>
      <c r="C132" s="60"/>
      <c r="D132" s="60"/>
      <c r="E132" s="60"/>
      <c r="F132" s="60"/>
      <c r="G132" s="60"/>
      <c r="H132" s="6"/>
      <c r="I132" s="7"/>
    </row>
    <row r="133" ht="9" customHeight="1" hidden="1">
      <c r="A133" s="59"/>
      <c r="B133" s="60"/>
      <c r="C133" s="60"/>
      <c r="D133" s="60"/>
      <c r="E133" s="60"/>
      <c r="F133" s="60"/>
      <c r="G133" s="60"/>
      <c r="H133" s="6"/>
      <c r="I133" s="7"/>
    </row>
    <row r="134" ht="9" customHeight="1" hidden="1">
      <c r="A134" s="59"/>
      <c r="B134" s="60"/>
      <c r="C134" s="60"/>
      <c r="D134" s="60"/>
      <c r="E134" s="60"/>
      <c r="F134" s="62"/>
      <c r="G134" s="60"/>
      <c r="H134" s="6"/>
      <c r="I134" s="7"/>
    </row>
    <row r="135" ht="9" customHeight="1" hidden="1">
      <c r="A135" s="59"/>
      <c r="B135" s="60"/>
      <c r="C135" s="60"/>
      <c r="D135" s="60"/>
      <c r="E135" s="60"/>
      <c r="F135" s="62"/>
      <c r="G135" s="60"/>
      <c r="H135" s="6"/>
      <c r="I135" s="7"/>
    </row>
    <row r="136" ht="16" customHeight="1">
      <c r="A136" t="s" s="57">
        <v>2915</v>
      </c>
      <c r="B136" t="s" s="57">
        <v>2751</v>
      </c>
      <c r="C136" t="s" s="57">
        <v>2916</v>
      </c>
      <c r="D136" t="s" s="57">
        <v>2917</v>
      </c>
      <c r="E136" t="s" s="57">
        <v>2918</v>
      </c>
      <c r="F136" s="47">
        <v>1.71617910051333</v>
      </c>
      <c r="G136" t="s" s="44">
        <v>1987</v>
      </c>
      <c r="H136" s="63"/>
      <c r="I136" s="64"/>
    </row>
  </sheetData>
  <mergeCells count="1">
    <mergeCell ref="A1:G2"/>
  </mergeCells>
  <pageMargins left="0.11811" right="0" top="0" bottom="0" header="0" footer="0"/>
  <pageSetup firstPageNumber="1" fitToHeight="1" fitToWidth="1" scale="54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N81"/>
  <sheetViews>
    <sheetView workbookViewId="0" showGridLines="0" defaultGridColor="1"/>
  </sheetViews>
  <sheetFormatPr defaultColWidth="8.83333" defaultRowHeight="16.5" customHeight="1" outlineLevelRow="0" outlineLevelCol="0"/>
  <cols>
    <col min="1" max="1" width="14.1719" style="65" customWidth="1"/>
    <col min="2" max="12" width="18.1719" style="65" customWidth="1"/>
    <col min="13" max="13" width="14.1719" style="65" customWidth="1"/>
    <col min="14" max="14" width="8.85156" style="65" customWidth="1"/>
    <col min="15" max="16384" width="8.85156" style="65" customWidth="1"/>
  </cols>
  <sheetData>
    <row r="1" ht="16" customHeight="1">
      <c r="A1" t="s" s="66">
        <v>2919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  <c r="N1" s="4"/>
    </row>
    <row r="2" ht="19.8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9"/>
      <c r="N2" s="7"/>
    </row>
    <row r="3" ht="16" customHeight="1">
      <c r="A3" s="70"/>
      <c r="B3" t="s" s="71">
        <v>2920</v>
      </c>
      <c r="C3" t="s" s="71">
        <v>2921</v>
      </c>
      <c r="D3" t="s" s="71">
        <v>2922</v>
      </c>
      <c r="E3" t="s" s="71">
        <v>2923</v>
      </c>
      <c r="F3" t="s" s="71">
        <v>52</v>
      </c>
      <c r="G3" t="s" s="71">
        <v>2924</v>
      </c>
      <c r="H3" t="s" s="71">
        <v>2925</v>
      </c>
      <c r="I3" t="s" s="71">
        <v>2926</v>
      </c>
      <c r="J3" t="s" s="71">
        <v>2927</v>
      </c>
      <c r="K3" t="s" s="71">
        <v>2928</v>
      </c>
      <c r="L3" t="s" s="71">
        <v>2929</v>
      </c>
      <c r="M3" t="s" s="71">
        <v>2930</v>
      </c>
      <c r="N3" s="72"/>
    </row>
    <row r="4" ht="16" customHeight="1">
      <c r="A4" t="s" s="73">
        <v>2931</v>
      </c>
      <c r="B4" t="s" s="73">
        <v>2932</v>
      </c>
      <c r="C4" t="s" s="73">
        <v>2933</v>
      </c>
      <c r="D4" t="s" s="73">
        <v>2934</v>
      </c>
      <c r="E4" t="s" s="73">
        <v>2935</v>
      </c>
      <c r="F4" t="s" s="73">
        <v>2936</v>
      </c>
      <c r="G4" t="s" s="73">
        <v>2937</v>
      </c>
      <c r="H4" t="s" s="73">
        <v>2938</v>
      </c>
      <c r="I4" t="s" s="73">
        <v>2939</v>
      </c>
      <c r="J4" t="s" s="73">
        <v>2939</v>
      </c>
      <c r="K4" s="74"/>
      <c r="L4" s="74"/>
      <c r="M4" s="74"/>
      <c r="N4" s="72"/>
    </row>
    <row r="5" ht="16" customHeight="1">
      <c r="A5" t="s" s="75">
        <v>2940</v>
      </c>
      <c r="B5" t="s" s="73">
        <v>2941</v>
      </c>
      <c r="C5" t="s" s="73">
        <v>2942</v>
      </c>
      <c r="D5" t="s" s="73">
        <v>2943</v>
      </c>
      <c r="E5" t="s" s="73">
        <v>2944</v>
      </c>
      <c r="F5" t="s" s="73">
        <v>2945</v>
      </c>
      <c r="G5" t="s" s="73">
        <v>2946</v>
      </c>
      <c r="H5" t="s" s="73">
        <v>2947</v>
      </c>
      <c r="I5" t="s" s="73">
        <v>2948</v>
      </c>
      <c r="J5" t="s" s="73">
        <v>2949</v>
      </c>
      <c r="K5" s="74"/>
      <c r="L5" s="74"/>
      <c r="M5" s="74"/>
      <c r="N5" s="72"/>
    </row>
    <row r="6" ht="16" customHeight="1">
      <c r="A6" s="76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2"/>
    </row>
    <row r="7" ht="16" customHeight="1">
      <c r="A7" s="76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2"/>
    </row>
    <row r="8" ht="16" customHeight="1">
      <c r="A8" s="76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2"/>
    </row>
    <row r="9" ht="16" customHeight="1">
      <c r="A9" s="77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2"/>
    </row>
    <row r="10" ht="16" customHeight="1">
      <c r="A10" t="s" s="73">
        <v>2950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2"/>
    </row>
    <row r="11" ht="16" customHeight="1">
      <c r="A11" t="s" s="73">
        <v>2951</v>
      </c>
      <c r="B11" s="78">
        <v>30</v>
      </c>
      <c r="C11" s="78">
        <v>30</v>
      </c>
      <c r="D11" s="78">
        <v>30</v>
      </c>
      <c r="E11" s="78">
        <v>30</v>
      </c>
      <c r="F11" s="78">
        <v>30</v>
      </c>
      <c r="G11" s="78">
        <v>30</v>
      </c>
      <c r="H11" s="78">
        <v>30</v>
      </c>
      <c r="I11" s="78">
        <v>30</v>
      </c>
      <c r="J11" s="78">
        <v>30</v>
      </c>
      <c r="K11" s="74"/>
      <c r="L11" s="74"/>
      <c r="M11" s="74"/>
      <c r="N11" s="72"/>
    </row>
    <row r="12" ht="16" customHeight="1">
      <c r="A12" s="79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2"/>
    </row>
    <row r="13" ht="16" customHeight="1">
      <c r="A13" s="80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2"/>
    </row>
    <row r="14" ht="16" customHeight="1">
      <c r="A14" s="80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2"/>
    </row>
    <row r="15" ht="16" customHeight="1">
      <c r="A15" s="80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2"/>
    </row>
    <row r="16" ht="16" customHeight="1">
      <c r="A16" s="80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2"/>
    </row>
    <row r="17" ht="16" customHeight="1">
      <c r="A17" s="80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2"/>
    </row>
    <row r="18" ht="16" customHeight="1">
      <c r="A18" s="80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2"/>
    </row>
    <row r="19" ht="16" customHeight="1">
      <c r="A19" s="80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2"/>
    </row>
    <row r="20" ht="16" customHeight="1">
      <c r="A20" s="80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2"/>
    </row>
    <row r="21" ht="16" customHeight="1">
      <c r="A21" s="80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2"/>
    </row>
    <row r="22" ht="16" customHeight="1">
      <c r="A22" s="80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2"/>
    </row>
    <row r="23" ht="16" customHeight="1">
      <c r="A23" s="77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2"/>
    </row>
    <row r="24" ht="16" customHeight="1">
      <c r="A24" t="s" s="73">
        <v>2952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2"/>
    </row>
    <row r="25" ht="16" customHeight="1">
      <c r="A25" t="s" s="73">
        <v>2953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2"/>
    </row>
    <row r="26" ht="16" customHeight="1">
      <c r="A26" t="s" s="73">
        <v>2954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2"/>
    </row>
    <row r="27" ht="16" customHeight="1">
      <c r="A27" t="s" s="73">
        <v>2955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2"/>
    </row>
    <row r="28" ht="16" customHeight="1">
      <c r="A28" t="s" s="73">
        <v>2956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2"/>
    </row>
    <row r="29" ht="16" customHeight="1">
      <c r="A29" s="81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2"/>
    </row>
    <row r="30" ht="16" customHeight="1">
      <c r="A30" s="76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2"/>
    </row>
    <row r="31" ht="16" customHeight="1">
      <c r="A31" s="76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2"/>
    </row>
    <row r="32" ht="16" customHeight="1">
      <c r="A32" s="76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2"/>
    </row>
    <row r="33" ht="16" customHeight="1">
      <c r="A33" s="76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2"/>
    </row>
    <row r="34" ht="16" customHeight="1">
      <c r="A34" s="76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2"/>
    </row>
    <row r="35" ht="16" customHeight="1">
      <c r="A35" s="76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2"/>
    </row>
    <row r="36" ht="16" customHeight="1">
      <c r="A36" s="76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2"/>
    </row>
    <row r="37" ht="16" customHeight="1">
      <c r="A37" s="76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2"/>
    </row>
    <row r="38" ht="16" customHeight="1">
      <c r="A38" s="76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2"/>
    </row>
    <row r="39" ht="16" customHeight="1">
      <c r="A39" s="76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2"/>
    </row>
    <row r="40" ht="16" customHeight="1">
      <c r="A40" s="76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2"/>
    </row>
    <row r="41" ht="16" customHeight="1">
      <c r="A41" s="76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2"/>
    </row>
    <row r="42" ht="16" customHeight="1">
      <c r="A42" s="76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2"/>
    </row>
    <row r="43" ht="16" customHeight="1">
      <c r="A43" s="76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2"/>
    </row>
    <row r="44" ht="16" customHeight="1">
      <c r="A44" s="76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2"/>
    </row>
    <row r="45" ht="16" customHeight="1">
      <c r="A45" s="76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2"/>
    </row>
    <row r="46" ht="16" customHeight="1">
      <c r="A46" s="76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2"/>
    </row>
    <row r="47" ht="16" customHeight="1">
      <c r="A47" s="76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2"/>
    </row>
    <row r="48" ht="16" customHeight="1">
      <c r="A48" s="76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2"/>
    </row>
    <row r="49" ht="16" customHeight="1">
      <c r="A49" s="76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2"/>
    </row>
    <row r="50" ht="16" customHeight="1">
      <c r="A50" s="80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2"/>
    </row>
    <row r="51" ht="16" customHeight="1">
      <c r="A51" s="80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2"/>
    </row>
    <row r="52" ht="16" customHeight="1">
      <c r="A52" s="80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2"/>
    </row>
    <row r="53" ht="16" customHeight="1">
      <c r="A53" s="80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2"/>
    </row>
    <row r="54" ht="16" customHeight="1">
      <c r="A54" s="80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2"/>
    </row>
    <row r="55" ht="16" customHeight="1">
      <c r="A55" s="80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2"/>
    </row>
    <row r="56" ht="16" customHeight="1">
      <c r="A56" s="80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2"/>
    </row>
    <row r="57" ht="16" customHeight="1">
      <c r="A57" s="80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2"/>
    </row>
    <row r="58" ht="16" customHeight="1">
      <c r="A58" s="80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2"/>
    </row>
    <row r="59" ht="16" customHeight="1">
      <c r="A59" s="80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2"/>
    </row>
    <row r="60" ht="16" customHeight="1">
      <c r="A60" s="80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2"/>
    </row>
    <row r="61" ht="16" customHeight="1">
      <c r="A61" s="80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2"/>
    </row>
    <row r="62" ht="16" customHeight="1">
      <c r="A62" s="80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2"/>
    </row>
    <row r="63" ht="16" customHeight="1">
      <c r="A63" s="80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2"/>
    </row>
    <row r="64" ht="16" customHeight="1">
      <c r="A64" s="80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2"/>
    </row>
    <row r="65" ht="16" customHeight="1">
      <c r="A65" s="80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2"/>
    </row>
    <row r="66" ht="16" customHeight="1">
      <c r="A66" s="80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2"/>
    </row>
    <row r="67" ht="16" customHeight="1">
      <c r="A67" s="80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2"/>
    </row>
    <row r="68" ht="16" customHeight="1">
      <c r="A68" s="80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2"/>
    </row>
    <row r="69" ht="16" customHeight="1">
      <c r="A69" s="80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2"/>
    </row>
    <row r="70" ht="16" customHeight="1">
      <c r="A70" s="80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2"/>
    </row>
    <row r="71" ht="16" customHeight="1">
      <c r="A71" s="80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2"/>
    </row>
    <row r="72" ht="16" customHeight="1">
      <c r="A72" s="80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2"/>
    </row>
    <row r="73" ht="16" customHeight="1">
      <c r="A73" s="80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2"/>
    </row>
    <row r="74" ht="16" customHeight="1">
      <c r="A74" s="80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2"/>
    </row>
    <row r="75" ht="16" customHeight="1">
      <c r="A75" s="80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2"/>
    </row>
    <row r="76" ht="16" customHeight="1">
      <c r="A76" s="80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2"/>
    </row>
    <row r="77" ht="16" customHeight="1">
      <c r="A77" s="80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2"/>
    </row>
    <row r="78" ht="16" customHeight="1">
      <c r="A78" s="80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2"/>
    </row>
    <row r="79" ht="16" customHeight="1">
      <c r="A79" s="80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2"/>
    </row>
    <row r="80" ht="16" customHeight="1">
      <c r="A80" s="80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2"/>
    </row>
    <row r="81" ht="16" customHeight="1">
      <c r="A81" s="15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19"/>
    </row>
  </sheetData>
  <mergeCells count="2">
    <mergeCell ref="A1:L2"/>
    <mergeCell ref="A5:A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M118"/>
  <sheetViews>
    <sheetView workbookViewId="0" showGridLines="0" defaultGridColor="1"/>
  </sheetViews>
  <sheetFormatPr defaultColWidth="8.83333" defaultRowHeight="16.5" customHeight="1" outlineLevelRow="0" outlineLevelCol="0"/>
  <cols>
    <col min="1" max="11" width="13.6719" style="83" customWidth="1"/>
    <col min="12" max="13" width="8.85156" style="83" customWidth="1"/>
    <col min="14" max="16384" width="8.85156" style="83" customWidth="1"/>
  </cols>
  <sheetData>
    <row r="1" ht="19.5" customHeight="1">
      <c r="A1" t="s" s="84">
        <v>2957</v>
      </c>
      <c r="B1" s="67"/>
      <c r="C1" s="67"/>
      <c r="D1" s="67"/>
      <c r="E1" s="67"/>
      <c r="F1" s="67"/>
      <c r="G1" s="67"/>
      <c r="H1" s="67"/>
      <c r="I1" s="67"/>
      <c r="J1" s="67"/>
      <c r="K1" s="85"/>
      <c r="L1" t="s" s="86">
        <v>2958</v>
      </c>
      <c r="M1" t="s" s="87">
        <v>2959</v>
      </c>
    </row>
    <row r="2" ht="19.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85"/>
      <c r="L2" t="s" s="88">
        <v>2960</v>
      </c>
      <c r="M2" t="s" s="89">
        <v>2961</v>
      </c>
    </row>
    <row r="3" ht="26.25" customHeight="1">
      <c r="A3" t="s" s="90">
        <v>2920</v>
      </c>
      <c r="B3" t="s" s="90">
        <v>2921</v>
      </c>
      <c r="C3" t="s" s="90">
        <v>2922</v>
      </c>
      <c r="D3" t="s" s="90">
        <v>2923</v>
      </c>
      <c r="E3" t="s" s="90">
        <v>52</v>
      </c>
      <c r="F3" t="s" s="90">
        <v>2924</v>
      </c>
      <c r="G3" t="s" s="90">
        <v>2925</v>
      </c>
      <c r="H3" t="s" s="90">
        <v>2962</v>
      </c>
      <c r="I3" t="s" s="90">
        <v>2927</v>
      </c>
      <c r="J3" t="s" s="91">
        <v>2963</v>
      </c>
      <c r="K3" s="92"/>
      <c r="L3" t="s" s="88">
        <v>2964</v>
      </c>
      <c r="M3" t="s" s="89">
        <v>2965</v>
      </c>
    </row>
    <row r="4" ht="26.25" customHeight="1">
      <c r="A4" t="s" s="90">
        <v>2932</v>
      </c>
      <c r="B4" t="s" s="90">
        <v>2933</v>
      </c>
      <c r="C4" t="s" s="90">
        <v>2934</v>
      </c>
      <c r="D4" t="s" s="90">
        <v>2935</v>
      </c>
      <c r="E4" t="s" s="90">
        <v>2936</v>
      </c>
      <c r="F4" t="s" s="90">
        <v>2937</v>
      </c>
      <c r="G4" t="s" s="90">
        <v>2938</v>
      </c>
      <c r="H4" t="s" s="90">
        <v>2939</v>
      </c>
      <c r="I4" t="s" s="90">
        <v>2939</v>
      </c>
      <c r="J4" s="93"/>
      <c r="K4" s="92"/>
      <c r="L4" t="s" s="88">
        <v>2966</v>
      </c>
      <c r="M4" t="s" s="89">
        <v>2967</v>
      </c>
    </row>
    <row r="5" ht="26.25" customHeight="1">
      <c r="A5" t="s" s="90">
        <v>2940</v>
      </c>
      <c r="B5" t="s" s="90">
        <v>2940</v>
      </c>
      <c r="C5" t="s" s="90">
        <v>2940</v>
      </c>
      <c r="D5" t="s" s="90">
        <v>2940</v>
      </c>
      <c r="E5" t="s" s="90">
        <v>2940</v>
      </c>
      <c r="F5" t="s" s="90">
        <v>2940</v>
      </c>
      <c r="G5" t="s" s="90">
        <v>2940</v>
      </c>
      <c r="H5" t="s" s="90">
        <v>2940</v>
      </c>
      <c r="I5" t="s" s="90">
        <v>2940</v>
      </c>
      <c r="J5" s="93"/>
      <c r="K5" s="92"/>
      <c r="L5" t="s" s="88">
        <v>2968</v>
      </c>
      <c r="M5" t="s" s="89">
        <v>2969</v>
      </c>
    </row>
    <row r="6" ht="26.25" customHeight="1">
      <c r="A6" t="s" s="90">
        <v>2941</v>
      </c>
      <c r="B6" t="s" s="90">
        <v>2942</v>
      </c>
      <c r="C6" t="s" s="90">
        <v>2943</v>
      </c>
      <c r="D6" t="s" s="90">
        <v>2944</v>
      </c>
      <c r="E6" t="s" s="90">
        <v>2945</v>
      </c>
      <c r="F6" t="s" s="90">
        <v>2946</v>
      </c>
      <c r="G6" t="s" s="90">
        <v>2947</v>
      </c>
      <c r="H6" t="s" s="90">
        <v>2948</v>
      </c>
      <c r="I6" t="s" s="90">
        <v>2949</v>
      </c>
      <c r="J6" s="93"/>
      <c r="K6" s="92"/>
      <c r="L6" t="s" s="88">
        <v>2970</v>
      </c>
      <c r="M6" t="s" s="89">
        <v>2971</v>
      </c>
    </row>
    <row r="7" ht="26.25" customHeight="1">
      <c r="A7" t="s" s="90">
        <v>2972</v>
      </c>
      <c r="B7" t="s" s="90">
        <v>2972</v>
      </c>
      <c r="C7" t="s" s="90">
        <v>2972</v>
      </c>
      <c r="D7" t="s" s="90">
        <v>2972</v>
      </c>
      <c r="E7" t="s" s="90">
        <v>2972</v>
      </c>
      <c r="F7" t="s" s="90">
        <v>2972</v>
      </c>
      <c r="G7" t="s" s="90">
        <v>2972</v>
      </c>
      <c r="H7" t="s" s="90">
        <v>2972</v>
      </c>
      <c r="I7" t="s" s="90">
        <v>2972</v>
      </c>
      <c r="J7" s="93"/>
      <c r="K7" s="92"/>
      <c r="L7" t="s" s="88">
        <v>2973</v>
      </c>
      <c r="M7" t="s" s="89">
        <v>2974</v>
      </c>
    </row>
    <row r="8" ht="26.25" customHeight="1">
      <c r="A8" t="s" s="94">
        <v>2975</v>
      </c>
      <c r="B8" t="s" s="94">
        <v>2976</v>
      </c>
      <c r="C8" t="s" s="94">
        <v>2977</v>
      </c>
      <c r="D8" t="s" s="94">
        <v>2978</v>
      </c>
      <c r="E8" t="s" s="94">
        <v>2979</v>
      </c>
      <c r="F8" t="s" s="94">
        <v>2980</v>
      </c>
      <c r="G8" t="s" s="94">
        <v>2981</v>
      </c>
      <c r="H8" t="s" s="94">
        <v>2982</v>
      </c>
      <c r="I8" t="s" s="94">
        <v>2983</v>
      </c>
      <c r="J8" s="93"/>
      <c r="K8" s="92"/>
      <c r="L8" t="s" s="88">
        <v>2984</v>
      </c>
      <c r="M8" t="s" s="89">
        <v>2985</v>
      </c>
    </row>
    <row r="9" ht="26.25" customHeight="1">
      <c r="A9" t="s" s="94">
        <v>2986</v>
      </c>
      <c r="B9" t="s" s="94">
        <v>2987</v>
      </c>
      <c r="C9" t="s" s="94">
        <v>2988</v>
      </c>
      <c r="D9" t="s" s="94">
        <v>2989</v>
      </c>
      <c r="E9" t="s" s="94">
        <v>2990</v>
      </c>
      <c r="F9" t="s" s="94">
        <v>2991</v>
      </c>
      <c r="G9" t="s" s="94">
        <v>2992</v>
      </c>
      <c r="H9" t="s" s="94">
        <v>2993</v>
      </c>
      <c r="I9" t="s" s="94">
        <v>2994</v>
      </c>
      <c r="J9" s="93"/>
      <c r="K9" s="92"/>
      <c r="L9" t="s" s="88">
        <v>2995</v>
      </c>
      <c r="M9" t="s" s="89">
        <v>2996</v>
      </c>
    </row>
    <row r="10" ht="26.25" customHeight="1">
      <c r="A10" t="s" s="94">
        <v>2997</v>
      </c>
      <c r="B10" t="s" s="94">
        <v>2998</v>
      </c>
      <c r="C10" t="s" s="94">
        <v>2999</v>
      </c>
      <c r="D10" t="s" s="94">
        <v>3000</v>
      </c>
      <c r="E10" t="s" s="94">
        <v>3001</v>
      </c>
      <c r="F10" t="s" s="94">
        <v>3002</v>
      </c>
      <c r="G10" t="s" s="94">
        <v>3003</v>
      </c>
      <c r="H10" t="s" s="94">
        <v>3004</v>
      </c>
      <c r="I10" t="s" s="94">
        <v>3005</v>
      </c>
      <c r="J10" s="93"/>
      <c r="K10" s="92"/>
      <c r="L10" t="s" s="88">
        <v>3006</v>
      </c>
      <c r="M10" t="s" s="89">
        <v>3007</v>
      </c>
    </row>
    <row r="11" ht="26.25" customHeight="1">
      <c r="A11" t="s" s="94">
        <v>3008</v>
      </c>
      <c r="B11" t="s" s="94">
        <v>3009</v>
      </c>
      <c r="C11" t="s" s="94">
        <v>3010</v>
      </c>
      <c r="D11" t="s" s="94">
        <v>3011</v>
      </c>
      <c r="E11" t="s" s="94">
        <v>3012</v>
      </c>
      <c r="F11" t="s" s="94">
        <v>3013</v>
      </c>
      <c r="G11" t="s" s="94">
        <v>3014</v>
      </c>
      <c r="H11" t="s" s="94">
        <v>3015</v>
      </c>
      <c r="I11" t="s" s="94">
        <v>3016</v>
      </c>
      <c r="J11" s="93"/>
      <c r="K11" s="92"/>
      <c r="L11" t="s" s="88">
        <v>3017</v>
      </c>
      <c r="M11" t="s" s="89">
        <v>3018</v>
      </c>
    </row>
    <row r="12" ht="26.25" customHeight="1">
      <c r="A12" t="s" s="94">
        <v>3019</v>
      </c>
      <c r="B12" t="s" s="94">
        <v>3020</v>
      </c>
      <c r="C12" t="s" s="94">
        <v>3021</v>
      </c>
      <c r="D12" t="s" s="94">
        <v>3022</v>
      </c>
      <c r="E12" t="s" s="94">
        <v>3023</v>
      </c>
      <c r="F12" t="s" s="94">
        <v>3024</v>
      </c>
      <c r="G12" t="s" s="94">
        <v>3025</v>
      </c>
      <c r="H12" t="s" s="94">
        <v>3026</v>
      </c>
      <c r="I12" t="s" s="94">
        <v>3027</v>
      </c>
      <c r="J12" s="93"/>
      <c r="K12" s="92"/>
      <c r="L12" t="s" s="88">
        <v>3028</v>
      </c>
      <c r="M12" t="s" s="89">
        <v>3029</v>
      </c>
    </row>
    <row r="13" ht="26.25" customHeight="1">
      <c r="A13" t="s" s="94">
        <v>3030</v>
      </c>
      <c r="B13" t="s" s="94">
        <v>3031</v>
      </c>
      <c r="C13" t="s" s="94">
        <v>3032</v>
      </c>
      <c r="D13" t="s" s="94">
        <v>3033</v>
      </c>
      <c r="E13" t="s" s="94">
        <v>3034</v>
      </c>
      <c r="F13" t="s" s="94">
        <v>3035</v>
      </c>
      <c r="G13" t="s" s="94">
        <v>3036</v>
      </c>
      <c r="H13" t="s" s="94">
        <v>3037</v>
      </c>
      <c r="I13" t="s" s="94">
        <v>3038</v>
      </c>
      <c r="J13" s="93"/>
      <c r="K13" s="92"/>
      <c r="L13" t="s" s="88">
        <v>3039</v>
      </c>
      <c r="M13" t="s" s="89">
        <v>3040</v>
      </c>
    </row>
    <row r="14" ht="26.25" customHeight="1">
      <c r="A14" t="s" s="94">
        <v>3041</v>
      </c>
      <c r="B14" t="s" s="94">
        <v>3042</v>
      </c>
      <c r="C14" t="s" s="94">
        <v>3043</v>
      </c>
      <c r="D14" t="s" s="94">
        <v>3044</v>
      </c>
      <c r="E14" t="s" s="94">
        <v>3045</v>
      </c>
      <c r="F14" t="s" s="94">
        <v>3046</v>
      </c>
      <c r="G14" t="s" s="94">
        <v>3047</v>
      </c>
      <c r="H14" t="s" s="94">
        <v>3048</v>
      </c>
      <c r="I14" t="s" s="94">
        <v>3049</v>
      </c>
      <c r="J14" s="93"/>
      <c r="K14" s="92"/>
      <c r="L14" t="s" s="88">
        <v>3050</v>
      </c>
      <c r="M14" t="s" s="89">
        <v>3051</v>
      </c>
    </row>
    <row r="15" ht="26.25" customHeight="1">
      <c r="A15" t="s" s="94">
        <v>3052</v>
      </c>
      <c r="B15" t="s" s="94">
        <v>3053</v>
      </c>
      <c r="C15" t="s" s="94">
        <v>3054</v>
      </c>
      <c r="D15" t="s" s="94">
        <v>3055</v>
      </c>
      <c r="E15" t="s" s="94">
        <v>3056</v>
      </c>
      <c r="F15" t="s" s="94">
        <v>3057</v>
      </c>
      <c r="G15" t="s" s="94">
        <v>3058</v>
      </c>
      <c r="H15" t="s" s="94">
        <v>3059</v>
      </c>
      <c r="I15" t="s" s="94">
        <v>3060</v>
      </c>
      <c r="J15" s="93"/>
      <c r="K15" s="92"/>
      <c r="L15" t="s" s="88">
        <v>3061</v>
      </c>
      <c r="M15" t="s" s="89">
        <v>3062</v>
      </c>
    </row>
    <row r="16" ht="26.25" customHeight="1">
      <c r="A16" t="s" s="94">
        <v>3063</v>
      </c>
      <c r="B16" t="s" s="94">
        <v>3064</v>
      </c>
      <c r="C16" t="s" s="94">
        <v>3065</v>
      </c>
      <c r="D16" t="s" s="94">
        <v>3066</v>
      </c>
      <c r="E16" t="s" s="94">
        <v>3067</v>
      </c>
      <c r="F16" t="s" s="94">
        <v>3068</v>
      </c>
      <c r="G16" t="s" s="94">
        <v>3069</v>
      </c>
      <c r="H16" t="s" s="94">
        <v>3070</v>
      </c>
      <c r="I16" t="s" s="94">
        <v>3071</v>
      </c>
      <c r="J16" s="93"/>
      <c r="K16" s="92"/>
      <c r="L16" t="s" s="88">
        <v>3072</v>
      </c>
      <c r="M16" t="s" s="89">
        <v>3073</v>
      </c>
    </row>
    <row r="17" ht="26.25" customHeight="1">
      <c r="A17" t="s" s="94">
        <v>3074</v>
      </c>
      <c r="B17" t="s" s="94">
        <v>3075</v>
      </c>
      <c r="C17" t="s" s="94">
        <v>3076</v>
      </c>
      <c r="D17" t="s" s="94">
        <v>3077</v>
      </c>
      <c r="E17" t="s" s="94">
        <v>3078</v>
      </c>
      <c r="F17" t="s" s="94">
        <v>3079</v>
      </c>
      <c r="G17" t="s" s="94">
        <v>3080</v>
      </c>
      <c r="H17" t="s" s="94">
        <v>3081</v>
      </c>
      <c r="I17" t="s" s="94">
        <v>3082</v>
      </c>
      <c r="J17" s="93"/>
      <c r="K17" s="92"/>
      <c r="L17" t="s" s="88">
        <v>3083</v>
      </c>
      <c r="M17" t="s" s="89">
        <v>3084</v>
      </c>
    </row>
    <row r="18" ht="26.25" customHeight="1">
      <c r="A18" t="s" s="94">
        <v>3085</v>
      </c>
      <c r="B18" t="s" s="94">
        <v>3086</v>
      </c>
      <c r="C18" t="s" s="94">
        <v>3087</v>
      </c>
      <c r="D18" t="s" s="94">
        <v>3088</v>
      </c>
      <c r="E18" t="s" s="94">
        <v>3089</v>
      </c>
      <c r="F18" t="s" s="94">
        <v>3090</v>
      </c>
      <c r="G18" t="s" s="94">
        <v>3091</v>
      </c>
      <c r="H18" t="s" s="94">
        <v>3092</v>
      </c>
      <c r="I18" t="s" s="94">
        <v>3093</v>
      </c>
      <c r="J18" s="93"/>
      <c r="K18" s="92"/>
      <c r="L18" t="s" s="88">
        <v>3094</v>
      </c>
      <c r="M18" t="s" s="89">
        <v>3095</v>
      </c>
    </row>
    <row r="19" ht="26.25" customHeight="1">
      <c r="A19" t="s" s="94">
        <v>3096</v>
      </c>
      <c r="B19" t="s" s="94">
        <v>3097</v>
      </c>
      <c r="C19" t="s" s="94">
        <v>3098</v>
      </c>
      <c r="D19" t="s" s="94">
        <v>3099</v>
      </c>
      <c r="E19" t="s" s="94">
        <v>3100</v>
      </c>
      <c r="F19" t="s" s="94">
        <v>3101</v>
      </c>
      <c r="G19" t="s" s="94">
        <v>3102</v>
      </c>
      <c r="H19" t="s" s="94">
        <v>3103</v>
      </c>
      <c r="I19" t="s" s="94">
        <v>3104</v>
      </c>
      <c r="J19" s="93"/>
      <c r="K19" s="92"/>
      <c r="L19" t="s" s="88">
        <v>3105</v>
      </c>
      <c r="M19" t="s" s="89">
        <v>3106</v>
      </c>
    </row>
    <row r="20" ht="26.25" customHeight="1">
      <c r="A20" t="s" s="94">
        <v>3107</v>
      </c>
      <c r="B20" t="s" s="94">
        <v>3108</v>
      </c>
      <c r="C20" t="s" s="94">
        <v>3109</v>
      </c>
      <c r="D20" t="s" s="94">
        <v>3110</v>
      </c>
      <c r="E20" t="s" s="94">
        <v>3111</v>
      </c>
      <c r="F20" t="s" s="94">
        <v>3112</v>
      </c>
      <c r="G20" t="s" s="94">
        <v>3113</v>
      </c>
      <c r="H20" t="s" s="94">
        <v>3114</v>
      </c>
      <c r="I20" t="s" s="94">
        <v>3115</v>
      </c>
      <c r="J20" s="93"/>
      <c r="K20" s="92"/>
      <c r="L20" t="s" s="88">
        <v>3116</v>
      </c>
      <c r="M20" t="s" s="89">
        <v>3117</v>
      </c>
    </row>
    <row r="21" ht="26.25" customHeight="1">
      <c r="A21" t="s" s="94">
        <v>3118</v>
      </c>
      <c r="B21" t="s" s="94">
        <v>3119</v>
      </c>
      <c r="C21" t="s" s="94">
        <v>3120</v>
      </c>
      <c r="D21" t="s" s="94">
        <v>3121</v>
      </c>
      <c r="E21" t="s" s="94">
        <v>3122</v>
      </c>
      <c r="F21" t="s" s="94">
        <v>3123</v>
      </c>
      <c r="G21" t="s" s="94">
        <v>3124</v>
      </c>
      <c r="H21" t="s" s="94">
        <v>3125</v>
      </c>
      <c r="I21" t="s" s="94">
        <v>3126</v>
      </c>
      <c r="J21" s="93"/>
      <c r="K21" s="92"/>
      <c r="L21" t="s" s="88">
        <v>3127</v>
      </c>
      <c r="M21" t="s" s="89">
        <v>3128</v>
      </c>
    </row>
    <row r="22" ht="26.25" customHeight="1">
      <c r="A22" t="s" s="94">
        <v>3129</v>
      </c>
      <c r="B22" t="s" s="94">
        <v>3130</v>
      </c>
      <c r="C22" t="s" s="94">
        <v>3131</v>
      </c>
      <c r="D22" t="s" s="94">
        <v>3132</v>
      </c>
      <c r="E22" t="s" s="94">
        <v>3133</v>
      </c>
      <c r="F22" t="s" s="94">
        <v>3134</v>
      </c>
      <c r="G22" t="s" s="94">
        <v>3135</v>
      </c>
      <c r="H22" t="s" s="94">
        <v>3136</v>
      </c>
      <c r="I22" t="s" s="94">
        <v>3137</v>
      </c>
      <c r="J22" s="93"/>
      <c r="K22" s="92"/>
      <c r="L22" t="s" s="88">
        <v>3138</v>
      </c>
      <c r="M22" t="s" s="89">
        <v>3139</v>
      </c>
    </row>
    <row r="23" ht="26.25" customHeight="1">
      <c r="A23" t="s" s="94">
        <v>3140</v>
      </c>
      <c r="B23" t="s" s="94">
        <v>3141</v>
      </c>
      <c r="C23" t="s" s="94">
        <v>3142</v>
      </c>
      <c r="D23" t="s" s="94">
        <v>3143</v>
      </c>
      <c r="E23" t="s" s="94">
        <v>3144</v>
      </c>
      <c r="F23" t="s" s="94">
        <v>3145</v>
      </c>
      <c r="G23" t="s" s="94">
        <v>3146</v>
      </c>
      <c r="H23" t="s" s="94">
        <v>3147</v>
      </c>
      <c r="I23" t="s" s="94">
        <v>3148</v>
      </c>
      <c r="J23" s="93"/>
      <c r="K23" s="92"/>
      <c r="L23" t="s" s="88">
        <v>3149</v>
      </c>
      <c r="M23" t="s" s="89">
        <v>3150</v>
      </c>
    </row>
    <row r="24" ht="26.25" customHeight="1">
      <c r="A24" t="s" s="94">
        <v>3151</v>
      </c>
      <c r="B24" t="s" s="94">
        <v>3152</v>
      </c>
      <c r="C24" t="s" s="94">
        <v>3153</v>
      </c>
      <c r="D24" t="s" s="94">
        <v>3154</v>
      </c>
      <c r="E24" t="s" s="94">
        <v>3155</v>
      </c>
      <c r="F24" t="s" s="94">
        <v>3156</v>
      </c>
      <c r="G24" t="s" s="94">
        <v>3157</v>
      </c>
      <c r="H24" t="s" s="94">
        <v>3158</v>
      </c>
      <c r="I24" t="s" s="94">
        <v>3159</v>
      </c>
      <c r="J24" s="93"/>
      <c r="K24" s="92"/>
      <c r="L24" t="s" s="88">
        <v>3160</v>
      </c>
      <c r="M24" t="s" s="89">
        <v>3161</v>
      </c>
    </row>
    <row r="25" ht="26.25" customHeight="1">
      <c r="A25" t="s" s="94">
        <v>3162</v>
      </c>
      <c r="B25" t="s" s="94">
        <v>3163</v>
      </c>
      <c r="C25" t="s" s="94">
        <v>3164</v>
      </c>
      <c r="D25" t="s" s="94">
        <v>3165</v>
      </c>
      <c r="E25" t="s" s="94">
        <v>3166</v>
      </c>
      <c r="F25" t="s" s="94">
        <v>3167</v>
      </c>
      <c r="G25" t="s" s="94">
        <v>3168</v>
      </c>
      <c r="H25" t="s" s="94">
        <v>3169</v>
      </c>
      <c r="I25" t="s" s="94">
        <v>3170</v>
      </c>
      <c r="J25" s="93"/>
      <c r="K25" s="92"/>
      <c r="L25" t="s" s="88">
        <v>3171</v>
      </c>
      <c r="M25" t="s" s="89">
        <v>3172</v>
      </c>
    </row>
    <row r="26" ht="26.25" customHeight="1">
      <c r="A26" t="s" s="94">
        <v>3173</v>
      </c>
      <c r="B26" t="s" s="94">
        <v>3174</v>
      </c>
      <c r="C26" t="s" s="94">
        <v>3175</v>
      </c>
      <c r="D26" t="s" s="94">
        <v>3176</v>
      </c>
      <c r="E26" t="s" s="94">
        <v>3177</v>
      </c>
      <c r="F26" t="s" s="94">
        <v>3178</v>
      </c>
      <c r="G26" t="s" s="94">
        <v>3179</v>
      </c>
      <c r="H26" t="s" s="94">
        <v>3180</v>
      </c>
      <c r="I26" t="s" s="94">
        <v>3181</v>
      </c>
      <c r="J26" s="93"/>
      <c r="K26" s="92"/>
      <c r="L26" t="s" s="88">
        <v>3182</v>
      </c>
      <c r="M26" t="s" s="89">
        <v>3183</v>
      </c>
    </row>
    <row r="27" ht="26.25" customHeight="1">
      <c r="A27" t="s" s="94">
        <v>3184</v>
      </c>
      <c r="B27" t="s" s="94">
        <v>3185</v>
      </c>
      <c r="C27" t="s" s="94">
        <v>3186</v>
      </c>
      <c r="D27" t="s" s="94">
        <v>3187</v>
      </c>
      <c r="E27" t="s" s="94">
        <v>3188</v>
      </c>
      <c r="F27" t="s" s="94">
        <v>3189</v>
      </c>
      <c r="G27" t="s" s="94">
        <v>3190</v>
      </c>
      <c r="H27" t="s" s="94">
        <v>3191</v>
      </c>
      <c r="I27" t="s" s="94">
        <v>3192</v>
      </c>
      <c r="J27" s="93"/>
      <c r="K27" s="92"/>
      <c r="L27" t="s" s="88">
        <v>3193</v>
      </c>
      <c r="M27" t="s" s="89">
        <v>3194</v>
      </c>
    </row>
    <row r="28" ht="26.25" customHeight="1">
      <c r="A28" t="s" s="94">
        <v>3195</v>
      </c>
      <c r="B28" t="s" s="94">
        <v>3196</v>
      </c>
      <c r="C28" t="s" s="94">
        <v>3197</v>
      </c>
      <c r="D28" t="s" s="94">
        <v>3198</v>
      </c>
      <c r="E28" t="s" s="94">
        <v>3199</v>
      </c>
      <c r="F28" t="s" s="94">
        <v>3200</v>
      </c>
      <c r="G28" t="s" s="94">
        <v>3201</v>
      </c>
      <c r="H28" t="s" s="94">
        <v>3202</v>
      </c>
      <c r="I28" t="s" s="94">
        <v>3203</v>
      </c>
      <c r="J28" s="93"/>
      <c r="K28" s="92"/>
      <c r="L28" t="s" s="88">
        <v>3204</v>
      </c>
      <c r="M28" t="s" s="89">
        <v>3205</v>
      </c>
    </row>
    <row r="29" ht="26.25" customHeight="1">
      <c r="A29" t="s" s="94">
        <v>3206</v>
      </c>
      <c r="B29" t="s" s="94">
        <v>3207</v>
      </c>
      <c r="C29" t="s" s="94">
        <v>3208</v>
      </c>
      <c r="D29" t="s" s="94">
        <v>3209</v>
      </c>
      <c r="E29" t="s" s="94">
        <v>3210</v>
      </c>
      <c r="F29" t="s" s="94">
        <v>3211</v>
      </c>
      <c r="G29" t="s" s="94">
        <v>3212</v>
      </c>
      <c r="H29" t="s" s="94">
        <v>3213</v>
      </c>
      <c r="I29" t="s" s="94">
        <v>3214</v>
      </c>
      <c r="J29" s="93"/>
      <c r="K29" s="92"/>
      <c r="L29" t="s" s="88">
        <v>3215</v>
      </c>
      <c r="M29" t="s" s="89">
        <v>3216</v>
      </c>
    </row>
    <row r="30" ht="26.25" customHeight="1">
      <c r="A30" t="s" s="94">
        <v>3217</v>
      </c>
      <c r="B30" t="s" s="94">
        <v>3218</v>
      </c>
      <c r="C30" t="s" s="94">
        <v>3219</v>
      </c>
      <c r="D30" t="s" s="94">
        <v>3220</v>
      </c>
      <c r="E30" t="s" s="94">
        <v>3221</v>
      </c>
      <c r="F30" t="s" s="94">
        <v>3222</v>
      </c>
      <c r="G30" t="s" s="94">
        <v>3223</v>
      </c>
      <c r="H30" t="s" s="94">
        <v>3224</v>
      </c>
      <c r="I30" t="s" s="94">
        <v>3225</v>
      </c>
      <c r="J30" s="93"/>
      <c r="K30" s="92"/>
      <c r="L30" t="s" s="88">
        <v>3226</v>
      </c>
      <c r="M30" t="s" s="89">
        <v>3227</v>
      </c>
    </row>
    <row r="31" ht="26.25" customHeight="1">
      <c r="A31" t="s" s="94">
        <v>3228</v>
      </c>
      <c r="B31" t="s" s="94">
        <v>3229</v>
      </c>
      <c r="C31" t="s" s="94">
        <v>3230</v>
      </c>
      <c r="D31" t="s" s="94">
        <v>3231</v>
      </c>
      <c r="E31" t="s" s="94">
        <v>3232</v>
      </c>
      <c r="F31" t="s" s="94">
        <v>3233</v>
      </c>
      <c r="G31" t="s" s="94">
        <v>3234</v>
      </c>
      <c r="H31" t="s" s="94">
        <v>3235</v>
      </c>
      <c r="I31" t="s" s="94">
        <v>3236</v>
      </c>
      <c r="J31" s="93"/>
      <c r="K31" s="92"/>
      <c r="L31" t="s" s="88">
        <v>3237</v>
      </c>
      <c r="M31" t="s" s="89">
        <v>3238</v>
      </c>
    </row>
    <row r="32" ht="26.25" customHeight="1">
      <c r="A32" t="s" s="94">
        <v>3239</v>
      </c>
      <c r="B32" t="s" s="94">
        <v>3240</v>
      </c>
      <c r="C32" t="s" s="94">
        <v>3241</v>
      </c>
      <c r="D32" t="s" s="94">
        <v>3242</v>
      </c>
      <c r="E32" t="s" s="94">
        <v>3243</v>
      </c>
      <c r="F32" t="s" s="94">
        <v>3244</v>
      </c>
      <c r="G32" t="s" s="94">
        <v>3245</v>
      </c>
      <c r="H32" t="s" s="94">
        <v>3246</v>
      </c>
      <c r="I32" t="s" s="94">
        <v>3247</v>
      </c>
      <c r="J32" s="93"/>
      <c r="K32" s="92"/>
      <c r="L32" t="s" s="88">
        <v>3248</v>
      </c>
      <c r="M32" t="s" s="89">
        <v>3249</v>
      </c>
    </row>
    <row r="33" ht="26.25" customHeight="1">
      <c r="A33" t="s" s="94">
        <v>3250</v>
      </c>
      <c r="B33" t="s" s="94">
        <v>3251</v>
      </c>
      <c r="C33" t="s" s="94">
        <v>3252</v>
      </c>
      <c r="D33" t="s" s="94">
        <v>3253</v>
      </c>
      <c r="E33" t="s" s="94">
        <v>3254</v>
      </c>
      <c r="F33" t="s" s="94">
        <v>3255</v>
      </c>
      <c r="G33" t="s" s="94">
        <v>3256</v>
      </c>
      <c r="H33" t="s" s="94">
        <v>3257</v>
      </c>
      <c r="I33" t="s" s="94">
        <v>3258</v>
      </c>
      <c r="J33" s="93"/>
      <c r="K33" s="92"/>
      <c r="L33" t="s" s="88">
        <v>3259</v>
      </c>
      <c r="M33" t="s" s="89">
        <v>3260</v>
      </c>
    </row>
    <row r="34" ht="26.25" customHeight="1">
      <c r="A34" t="s" s="94">
        <v>3261</v>
      </c>
      <c r="B34" t="s" s="94">
        <v>3262</v>
      </c>
      <c r="C34" t="s" s="94">
        <v>3263</v>
      </c>
      <c r="D34" t="s" s="94">
        <v>3264</v>
      </c>
      <c r="E34" t="s" s="94">
        <v>3265</v>
      </c>
      <c r="F34" t="s" s="94">
        <v>3266</v>
      </c>
      <c r="G34" t="s" s="94">
        <v>3267</v>
      </c>
      <c r="H34" t="s" s="94">
        <v>3268</v>
      </c>
      <c r="I34" t="s" s="94">
        <v>3269</v>
      </c>
      <c r="J34" s="93"/>
      <c r="K34" s="92"/>
      <c r="L34" t="s" s="88">
        <v>3270</v>
      </c>
      <c r="M34" t="s" s="89">
        <v>3271</v>
      </c>
    </row>
    <row r="35" ht="26.25" customHeight="1">
      <c r="A35" t="s" s="94">
        <v>3272</v>
      </c>
      <c r="B35" t="s" s="94">
        <v>3273</v>
      </c>
      <c r="C35" t="s" s="94">
        <v>3274</v>
      </c>
      <c r="D35" t="s" s="94">
        <v>3275</v>
      </c>
      <c r="E35" t="s" s="94">
        <v>3276</v>
      </c>
      <c r="F35" t="s" s="94">
        <v>3277</v>
      </c>
      <c r="G35" t="s" s="94">
        <v>3278</v>
      </c>
      <c r="H35" t="s" s="94">
        <v>3279</v>
      </c>
      <c r="I35" t="s" s="94">
        <v>3280</v>
      </c>
      <c r="J35" s="93"/>
      <c r="K35" s="92"/>
      <c r="L35" t="s" s="88">
        <v>3281</v>
      </c>
      <c r="M35" t="s" s="89">
        <v>3282</v>
      </c>
    </row>
    <row r="36" ht="26.25" customHeight="1">
      <c r="A36" t="s" s="94">
        <v>3283</v>
      </c>
      <c r="B36" t="s" s="94">
        <v>3284</v>
      </c>
      <c r="C36" t="s" s="94">
        <v>3285</v>
      </c>
      <c r="D36" t="s" s="94">
        <v>3286</v>
      </c>
      <c r="E36" t="s" s="94">
        <v>3287</v>
      </c>
      <c r="F36" t="s" s="94">
        <v>3288</v>
      </c>
      <c r="G36" t="s" s="94">
        <v>3289</v>
      </c>
      <c r="H36" t="s" s="94">
        <v>3290</v>
      </c>
      <c r="I36" t="s" s="94">
        <v>3291</v>
      </c>
      <c r="J36" s="93"/>
      <c r="K36" s="92"/>
      <c r="L36" t="s" s="88">
        <v>3292</v>
      </c>
      <c r="M36" t="s" s="89">
        <v>3293</v>
      </c>
    </row>
    <row r="37" ht="26.25" customHeight="1">
      <c r="A37" t="s" s="94">
        <v>3294</v>
      </c>
      <c r="B37" t="s" s="94">
        <v>3295</v>
      </c>
      <c r="C37" t="s" s="94">
        <v>3296</v>
      </c>
      <c r="D37" t="s" s="94">
        <v>3297</v>
      </c>
      <c r="E37" t="s" s="94">
        <v>3298</v>
      </c>
      <c r="F37" t="s" s="94">
        <v>3299</v>
      </c>
      <c r="G37" t="s" s="94">
        <v>3300</v>
      </c>
      <c r="H37" t="s" s="94">
        <v>3301</v>
      </c>
      <c r="I37" t="s" s="94">
        <v>3302</v>
      </c>
      <c r="J37" s="93"/>
      <c r="K37" s="92"/>
      <c r="L37" t="s" s="88">
        <v>3303</v>
      </c>
      <c r="M37" t="s" s="89">
        <v>3304</v>
      </c>
    </row>
    <row r="38" ht="26.25" customHeight="1">
      <c r="A38" t="s" s="94">
        <v>3305</v>
      </c>
      <c r="B38" s="95"/>
      <c r="C38" s="95"/>
      <c r="D38" s="36"/>
      <c r="E38" s="36"/>
      <c r="F38" s="36"/>
      <c r="G38" t="s" s="94">
        <v>3306</v>
      </c>
      <c r="H38" t="s" s="94">
        <v>3307</v>
      </c>
      <c r="I38" s="95"/>
      <c r="J38" s="93"/>
      <c r="K38" s="92"/>
      <c r="L38" t="s" s="88">
        <v>3308</v>
      </c>
      <c r="M38" t="s" s="89">
        <v>3309</v>
      </c>
    </row>
    <row r="39" ht="26.25" customHeight="1">
      <c r="A39" t="s" s="96">
        <v>2940</v>
      </c>
      <c r="B39" s="97"/>
      <c r="C39" t="s" s="96">
        <v>3310</v>
      </c>
      <c r="D39" s="97"/>
      <c r="E39" t="s" s="96">
        <v>3311</v>
      </c>
      <c r="F39" s="97"/>
      <c r="G39" t="s" s="96">
        <v>3312</v>
      </c>
      <c r="H39" s="97"/>
      <c r="I39" t="s" s="98">
        <v>3313</v>
      </c>
      <c r="J39" t="s" s="99">
        <v>3314</v>
      </c>
      <c r="K39" s="100"/>
      <c r="L39" t="s" s="88">
        <v>3315</v>
      </c>
      <c r="M39" t="s" s="89">
        <v>3316</v>
      </c>
    </row>
    <row r="40" ht="19.5" customHeight="1">
      <c r="A40" t="s" s="99">
        <v>3317</v>
      </c>
      <c r="B40" s="101"/>
      <c r="C40" t="s" s="99">
        <v>3318</v>
      </c>
      <c r="D40" s="101"/>
      <c r="E40" t="s" s="99">
        <v>3319</v>
      </c>
      <c r="F40" s="101"/>
      <c r="G40" t="s" s="99">
        <v>3320</v>
      </c>
      <c r="H40" s="101"/>
      <c r="I40" s="102"/>
      <c r="J40" s="103"/>
      <c r="K40" s="104"/>
      <c r="L40" t="s" s="88">
        <v>3321</v>
      </c>
      <c r="M40" t="s" s="89">
        <v>3322</v>
      </c>
    </row>
    <row r="41" ht="19.5" customHeight="1">
      <c r="A41" s="105"/>
      <c r="B41" s="106"/>
      <c r="C41" s="105"/>
      <c r="D41" s="106"/>
      <c r="E41" s="105"/>
      <c r="F41" s="106"/>
      <c r="G41" s="105"/>
      <c r="H41" s="106"/>
      <c r="I41" s="107"/>
      <c r="J41" s="105"/>
      <c r="K41" s="108"/>
      <c r="L41" t="s" s="88">
        <v>3323</v>
      </c>
      <c r="M41" t="s" s="89">
        <v>3324</v>
      </c>
    </row>
    <row r="42" ht="26.25" customHeight="1">
      <c r="A42" s="109"/>
      <c r="B42" s="110"/>
      <c r="C42" s="110"/>
      <c r="D42" s="111"/>
      <c r="E42" s="111"/>
      <c r="F42" s="111"/>
      <c r="G42" s="111"/>
      <c r="H42" s="111"/>
      <c r="I42" s="110"/>
      <c r="J42" s="110"/>
      <c r="K42" s="111"/>
      <c r="L42" t="s" s="88">
        <v>3325</v>
      </c>
      <c r="M42" t="s" s="89">
        <v>3326</v>
      </c>
    </row>
    <row r="43" ht="26.25" customHeight="1">
      <c r="A43" s="112"/>
      <c r="B43" s="113"/>
      <c r="C43" s="113"/>
      <c r="D43" s="6"/>
      <c r="E43" s="6"/>
      <c r="F43" s="6"/>
      <c r="G43" s="6"/>
      <c r="H43" s="6"/>
      <c r="I43" s="113"/>
      <c r="J43" s="113"/>
      <c r="K43" s="6"/>
      <c r="L43" t="s" s="88">
        <v>3327</v>
      </c>
      <c r="M43" t="s" s="89">
        <v>3328</v>
      </c>
    </row>
    <row r="44" ht="26.25" customHeight="1">
      <c r="A44" s="112"/>
      <c r="B44" s="113"/>
      <c r="C44" s="113"/>
      <c r="D44" s="6"/>
      <c r="E44" s="6"/>
      <c r="F44" s="6"/>
      <c r="G44" s="6"/>
      <c r="H44" s="6"/>
      <c r="I44" s="113"/>
      <c r="J44" s="113"/>
      <c r="K44" s="6"/>
      <c r="L44" t="s" s="88">
        <v>3329</v>
      </c>
      <c r="M44" t="s" s="89">
        <v>3330</v>
      </c>
    </row>
    <row r="45" ht="26.25" customHeight="1">
      <c r="A45" s="112"/>
      <c r="B45" s="113"/>
      <c r="C45" s="113"/>
      <c r="D45" s="6"/>
      <c r="E45" s="6"/>
      <c r="F45" s="6"/>
      <c r="G45" s="6"/>
      <c r="H45" s="6"/>
      <c r="I45" s="113"/>
      <c r="J45" s="113"/>
      <c r="K45" s="6"/>
      <c r="L45" t="s" s="88">
        <v>3331</v>
      </c>
      <c r="M45" t="s" s="89">
        <v>3332</v>
      </c>
    </row>
    <row r="46" ht="26.25" customHeight="1">
      <c r="A46" s="112"/>
      <c r="B46" s="113"/>
      <c r="C46" s="113"/>
      <c r="D46" s="6"/>
      <c r="E46" s="6"/>
      <c r="F46" s="6"/>
      <c r="G46" s="6"/>
      <c r="H46" s="6"/>
      <c r="I46" s="113"/>
      <c r="J46" s="113"/>
      <c r="K46" s="6"/>
      <c r="L46" t="s" s="88">
        <v>3333</v>
      </c>
      <c r="M46" t="s" s="89">
        <v>3334</v>
      </c>
    </row>
    <row r="47" ht="26.25" customHeight="1">
      <c r="A47" s="112"/>
      <c r="B47" s="113"/>
      <c r="C47" s="113"/>
      <c r="D47" s="6"/>
      <c r="E47" s="6"/>
      <c r="F47" s="6"/>
      <c r="G47" s="6"/>
      <c r="H47" s="6"/>
      <c r="I47" s="113"/>
      <c r="J47" s="113"/>
      <c r="K47" s="6"/>
      <c r="L47" t="s" s="88">
        <v>3335</v>
      </c>
      <c r="M47" t="s" s="89">
        <v>3336</v>
      </c>
    </row>
    <row r="48" ht="26.25" customHeight="1">
      <c r="A48" s="112"/>
      <c r="B48" s="113"/>
      <c r="C48" s="113"/>
      <c r="D48" s="6"/>
      <c r="E48" s="6"/>
      <c r="F48" s="6"/>
      <c r="G48" s="6"/>
      <c r="H48" s="6"/>
      <c r="I48" s="113"/>
      <c r="J48" s="113"/>
      <c r="K48" s="6"/>
      <c r="L48" t="s" s="88">
        <v>3337</v>
      </c>
      <c r="M48" t="s" s="89">
        <v>3338</v>
      </c>
    </row>
    <row r="49" ht="26.25" customHeight="1">
      <c r="A49" s="112"/>
      <c r="B49" s="113"/>
      <c r="C49" s="113"/>
      <c r="D49" s="6"/>
      <c r="E49" s="6"/>
      <c r="F49" s="6"/>
      <c r="G49" s="6"/>
      <c r="H49" s="6"/>
      <c r="I49" s="113"/>
      <c r="J49" s="113"/>
      <c r="K49" s="6"/>
      <c r="L49" t="s" s="88">
        <v>3339</v>
      </c>
      <c r="M49" t="s" s="89">
        <v>3340</v>
      </c>
    </row>
    <row r="50" ht="26.25" customHeight="1">
      <c r="A50" s="112"/>
      <c r="B50" s="113"/>
      <c r="C50" s="113"/>
      <c r="D50" s="6"/>
      <c r="E50" s="6"/>
      <c r="F50" s="6"/>
      <c r="G50" s="6"/>
      <c r="H50" s="6"/>
      <c r="I50" s="113"/>
      <c r="J50" s="113"/>
      <c r="K50" s="6"/>
      <c r="L50" t="s" s="88">
        <v>3341</v>
      </c>
      <c r="M50" t="s" s="89">
        <v>3342</v>
      </c>
    </row>
    <row r="51" ht="26.25" customHeight="1">
      <c r="A51" s="112"/>
      <c r="B51" s="113"/>
      <c r="C51" s="113"/>
      <c r="D51" s="6"/>
      <c r="E51" s="6"/>
      <c r="F51" s="6"/>
      <c r="G51" s="6"/>
      <c r="H51" s="6"/>
      <c r="I51" s="113"/>
      <c r="J51" s="113"/>
      <c r="K51" s="6"/>
      <c r="L51" t="s" s="88">
        <v>3343</v>
      </c>
      <c r="M51" t="s" s="89">
        <v>3344</v>
      </c>
    </row>
    <row r="52" ht="26.25" customHeight="1">
      <c r="A52" s="112"/>
      <c r="B52" s="113"/>
      <c r="C52" s="113"/>
      <c r="D52" s="6"/>
      <c r="E52" s="6"/>
      <c r="F52" s="6"/>
      <c r="G52" s="6"/>
      <c r="H52" s="6"/>
      <c r="I52" s="113"/>
      <c r="J52" s="113"/>
      <c r="K52" s="6"/>
      <c r="L52" t="s" s="88">
        <v>3345</v>
      </c>
      <c r="M52" t="s" s="89">
        <v>3346</v>
      </c>
    </row>
    <row r="53" ht="26.25" customHeight="1">
      <c r="A53" s="112"/>
      <c r="B53" s="113"/>
      <c r="C53" s="113"/>
      <c r="D53" s="6"/>
      <c r="E53" s="6"/>
      <c r="F53" s="6"/>
      <c r="G53" s="6"/>
      <c r="H53" s="6"/>
      <c r="I53" s="113"/>
      <c r="J53" s="113"/>
      <c r="K53" s="6"/>
      <c r="L53" t="s" s="88">
        <v>3347</v>
      </c>
      <c r="M53" t="s" s="89">
        <v>3348</v>
      </c>
    </row>
    <row r="54" ht="26.25" customHeight="1">
      <c r="A54" s="112"/>
      <c r="B54" s="113"/>
      <c r="C54" s="113"/>
      <c r="D54" s="6"/>
      <c r="E54" s="6"/>
      <c r="F54" s="6"/>
      <c r="G54" s="6"/>
      <c r="H54" s="6"/>
      <c r="I54" s="113"/>
      <c r="J54" s="113"/>
      <c r="K54" s="6"/>
      <c r="L54" t="s" s="88">
        <v>3349</v>
      </c>
      <c r="M54" t="s" s="89">
        <v>3350</v>
      </c>
    </row>
    <row r="55" ht="26.25" customHeight="1">
      <c r="A55" s="112"/>
      <c r="B55" s="113"/>
      <c r="C55" s="113"/>
      <c r="D55" s="6"/>
      <c r="E55" s="6"/>
      <c r="F55" s="6"/>
      <c r="G55" s="6"/>
      <c r="H55" s="6"/>
      <c r="I55" s="113"/>
      <c r="J55" s="113"/>
      <c r="K55" s="6"/>
      <c r="L55" t="s" s="88">
        <v>3351</v>
      </c>
      <c r="M55" t="s" s="89">
        <v>3352</v>
      </c>
    </row>
    <row r="56" ht="26.25" customHeight="1">
      <c r="A56" s="112"/>
      <c r="B56" s="113"/>
      <c r="C56" s="113"/>
      <c r="D56" s="6"/>
      <c r="E56" s="6"/>
      <c r="F56" s="6"/>
      <c r="G56" s="6"/>
      <c r="H56" s="6"/>
      <c r="I56" s="113"/>
      <c r="J56" s="113"/>
      <c r="K56" s="6"/>
      <c r="L56" t="s" s="88">
        <v>3353</v>
      </c>
      <c r="M56" t="s" s="89">
        <v>3354</v>
      </c>
    </row>
    <row r="57" ht="26.25" customHeight="1">
      <c r="A57" s="112"/>
      <c r="B57" s="113"/>
      <c r="C57" s="113"/>
      <c r="D57" s="6"/>
      <c r="E57" s="6"/>
      <c r="F57" s="6"/>
      <c r="G57" s="6"/>
      <c r="H57" s="6"/>
      <c r="I57" s="113"/>
      <c r="J57" s="113"/>
      <c r="K57" s="6"/>
      <c r="L57" t="s" s="88">
        <v>3355</v>
      </c>
      <c r="M57" t="s" s="89">
        <v>3356</v>
      </c>
    </row>
    <row r="58" ht="26.25" customHeight="1">
      <c r="A58" s="112"/>
      <c r="B58" s="113"/>
      <c r="C58" s="113"/>
      <c r="D58" s="6"/>
      <c r="E58" s="6"/>
      <c r="F58" s="6"/>
      <c r="G58" s="6"/>
      <c r="H58" s="6"/>
      <c r="I58" s="113"/>
      <c r="J58" s="113"/>
      <c r="K58" s="6"/>
      <c r="L58" t="s" s="88">
        <v>3357</v>
      </c>
      <c r="M58" t="s" s="89">
        <v>3358</v>
      </c>
    </row>
    <row r="59" ht="26.25" customHeight="1">
      <c r="A59" s="112"/>
      <c r="B59" s="113"/>
      <c r="C59" s="113"/>
      <c r="D59" s="6"/>
      <c r="E59" s="6"/>
      <c r="F59" s="6"/>
      <c r="G59" s="6"/>
      <c r="H59" s="6"/>
      <c r="I59" s="113"/>
      <c r="J59" s="113"/>
      <c r="K59" s="6"/>
      <c r="L59" t="s" s="88">
        <v>3359</v>
      </c>
      <c r="M59" t="s" s="89">
        <v>3360</v>
      </c>
    </row>
    <row r="60" ht="26.25" customHeight="1">
      <c r="A60" s="112"/>
      <c r="B60" s="113"/>
      <c r="C60" s="113"/>
      <c r="D60" s="6"/>
      <c r="E60" s="6"/>
      <c r="F60" s="6"/>
      <c r="G60" s="6"/>
      <c r="H60" s="6"/>
      <c r="I60" s="113"/>
      <c r="J60" s="113"/>
      <c r="K60" s="6"/>
      <c r="L60" t="s" s="88">
        <v>3361</v>
      </c>
      <c r="M60" t="s" s="89">
        <v>3362</v>
      </c>
    </row>
    <row r="61" ht="26.25" customHeight="1">
      <c r="A61" s="112"/>
      <c r="B61" s="113"/>
      <c r="C61" s="113"/>
      <c r="D61" s="6"/>
      <c r="E61" s="6"/>
      <c r="F61" s="6"/>
      <c r="G61" s="6"/>
      <c r="H61" s="6"/>
      <c r="I61" s="113"/>
      <c r="J61" s="113"/>
      <c r="K61" s="6"/>
      <c r="L61" t="s" s="88">
        <v>3363</v>
      </c>
      <c r="M61" t="s" s="89">
        <v>3364</v>
      </c>
    </row>
    <row r="62" ht="26.25" customHeight="1">
      <c r="A62" s="112"/>
      <c r="B62" s="113"/>
      <c r="C62" s="113"/>
      <c r="D62" s="6"/>
      <c r="E62" s="6"/>
      <c r="F62" s="6"/>
      <c r="G62" s="6"/>
      <c r="H62" s="6"/>
      <c r="I62" s="113"/>
      <c r="J62" s="113"/>
      <c r="K62" s="6"/>
      <c r="L62" t="s" s="88">
        <v>3365</v>
      </c>
      <c r="M62" t="s" s="89">
        <v>3366</v>
      </c>
    </row>
    <row r="63" ht="26.25" customHeight="1">
      <c r="A63" s="112"/>
      <c r="B63" s="113"/>
      <c r="C63" s="113"/>
      <c r="D63" s="6"/>
      <c r="E63" s="6"/>
      <c r="F63" s="6"/>
      <c r="G63" s="6"/>
      <c r="H63" s="6"/>
      <c r="I63" s="113"/>
      <c r="J63" s="113"/>
      <c r="K63" s="6"/>
      <c r="L63" t="s" s="88">
        <v>3367</v>
      </c>
      <c r="M63" t="s" s="89">
        <v>3368</v>
      </c>
    </row>
    <row r="64" ht="26.25" customHeight="1">
      <c r="A64" s="112"/>
      <c r="B64" s="113"/>
      <c r="C64" s="113"/>
      <c r="D64" s="6"/>
      <c r="E64" s="6"/>
      <c r="F64" s="6"/>
      <c r="G64" s="6"/>
      <c r="H64" s="6"/>
      <c r="I64" s="113"/>
      <c r="J64" s="113"/>
      <c r="K64" s="6"/>
      <c r="L64" t="s" s="88">
        <v>3369</v>
      </c>
      <c r="M64" t="s" s="89">
        <v>3370</v>
      </c>
    </row>
    <row r="65" ht="26.25" customHeight="1">
      <c r="A65" s="112"/>
      <c r="B65" s="113"/>
      <c r="C65" s="113"/>
      <c r="D65" s="6"/>
      <c r="E65" s="6"/>
      <c r="F65" s="6"/>
      <c r="G65" s="6"/>
      <c r="H65" s="6"/>
      <c r="I65" s="113"/>
      <c r="J65" s="113"/>
      <c r="K65" s="6"/>
      <c r="L65" t="s" s="88">
        <v>3371</v>
      </c>
      <c r="M65" t="s" s="89">
        <v>3372</v>
      </c>
    </row>
    <row r="66" ht="26.25" customHeight="1">
      <c r="A66" s="112"/>
      <c r="B66" s="113"/>
      <c r="C66" s="113"/>
      <c r="D66" s="6"/>
      <c r="E66" s="6"/>
      <c r="F66" s="6"/>
      <c r="G66" s="6"/>
      <c r="H66" s="6"/>
      <c r="I66" s="113"/>
      <c r="J66" s="113"/>
      <c r="K66" s="6"/>
      <c r="L66" t="s" s="88">
        <v>3373</v>
      </c>
      <c r="M66" t="s" s="89">
        <v>3374</v>
      </c>
    </row>
    <row r="67" ht="26.25" customHeight="1">
      <c r="A67" s="112"/>
      <c r="B67" s="113"/>
      <c r="C67" s="113"/>
      <c r="D67" s="6"/>
      <c r="E67" s="6"/>
      <c r="F67" s="6"/>
      <c r="G67" s="6"/>
      <c r="H67" s="6"/>
      <c r="I67" s="113"/>
      <c r="J67" s="113"/>
      <c r="K67" s="6"/>
      <c r="L67" t="s" s="88">
        <v>3375</v>
      </c>
      <c r="M67" t="s" s="89">
        <v>3376</v>
      </c>
    </row>
    <row r="68" ht="26.25" customHeight="1">
      <c r="A68" s="112"/>
      <c r="B68" s="113"/>
      <c r="C68" s="113"/>
      <c r="D68" s="6"/>
      <c r="E68" s="6"/>
      <c r="F68" s="6"/>
      <c r="G68" s="6"/>
      <c r="H68" s="6"/>
      <c r="I68" s="113"/>
      <c r="J68" s="113"/>
      <c r="K68" s="6"/>
      <c r="L68" t="s" s="88">
        <v>3377</v>
      </c>
      <c r="M68" t="s" s="89">
        <v>3378</v>
      </c>
    </row>
    <row r="69" ht="26.25" customHeight="1">
      <c r="A69" s="112"/>
      <c r="B69" s="113"/>
      <c r="C69" s="113"/>
      <c r="D69" s="6"/>
      <c r="E69" s="6"/>
      <c r="F69" s="6"/>
      <c r="G69" s="6"/>
      <c r="H69" s="6"/>
      <c r="I69" s="113"/>
      <c r="J69" s="113"/>
      <c r="K69" s="6"/>
      <c r="L69" t="s" s="88">
        <v>3379</v>
      </c>
      <c r="M69" t="s" s="89">
        <v>3380</v>
      </c>
    </row>
    <row r="70" ht="26.25" customHeight="1">
      <c r="A70" s="112"/>
      <c r="B70" s="113"/>
      <c r="C70" s="113"/>
      <c r="D70" s="6"/>
      <c r="E70" s="6"/>
      <c r="F70" s="6"/>
      <c r="G70" s="6"/>
      <c r="H70" s="6"/>
      <c r="I70" s="113"/>
      <c r="J70" s="113"/>
      <c r="K70" s="6"/>
      <c r="L70" t="s" s="88">
        <v>3381</v>
      </c>
      <c r="M70" t="s" s="89">
        <v>3382</v>
      </c>
    </row>
    <row r="71" ht="26.25" customHeight="1">
      <c r="A71" s="112"/>
      <c r="B71" s="113"/>
      <c r="C71" s="113"/>
      <c r="D71" s="6"/>
      <c r="E71" s="6"/>
      <c r="F71" s="6"/>
      <c r="G71" s="6"/>
      <c r="H71" s="6"/>
      <c r="I71" s="113"/>
      <c r="J71" s="113"/>
      <c r="K71" s="6"/>
      <c r="L71" t="s" s="88">
        <v>3383</v>
      </c>
      <c r="M71" t="s" s="89">
        <v>3384</v>
      </c>
    </row>
    <row r="72" ht="26.25" customHeight="1">
      <c r="A72" s="112"/>
      <c r="B72" s="113"/>
      <c r="C72" s="113"/>
      <c r="D72" s="6"/>
      <c r="E72" s="6"/>
      <c r="F72" s="6"/>
      <c r="G72" s="6"/>
      <c r="H72" s="6"/>
      <c r="I72" s="113"/>
      <c r="J72" s="113"/>
      <c r="K72" s="6"/>
      <c r="L72" t="s" s="88">
        <v>3385</v>
      </c>
      <c r="M72" t="s" s="89">
        <v>3386</v>
      </c>
    </row>
    <row r="73" ht="26.25" customHeight="1">
      <c r="A73" s="112"/>
      <c r="B73" s="113"/>
      <c r="C73" s="113"/>
      <c r="D73" s="6"/>
      <c r="E73" s="6"/>
      <c r="F73" s="6"/>
      <c r="G73" s="6"/>
      <c r="H73" s="6"/>
      <c r="I73" s="113"/>
      <c r="J73" s="113"/>
      <c r="K73" s="6"/>
      <c r="L73" t="s" s="88">
        <v>3387</v>
      </c>
      <c r="M73" t="s" s="89">
        <v>3388</v>
      </c>
    </row>
    <row r="74" ht="26.25" customHeight="1">
      <c r="A74" s="112"/>
      <c r="B74" s="113"/>
      <c r="C74" s="113"/>
      <c r="D74" s="6"/>
      <c r="E74" s="6"/>
      <c r="F74" s="6"/>
      <c r="G74" s="6"/>
      <c r="H74" s="6"/>
      <c r="I74" s="113"/>
      <c r="J74" s="113"/>
      <c r="K74" s="6"/>
      <c r="L74" t="s" s="88">
        <v>3389</v>
      </c>
      <c r="M74" t="s" s="89">
        <v>3390</v>
      </c>
    </row>
    <row r="75" ht="26.25" customHeight="1">
      <c r="A75" s="112"/>
      <c r="B75" s="113"/>
      <c r="C75" s="113"/>
      <c r="D75" s="6"/>
      <c r="E75" s="6"/>
      <c r="F75" s="6"/>
      <c r="G75" s="6"/>
      <c r="H75" s="6"/>
      <c r="I75" s="113"/>
      <c r="J75" s="113"/>
      <c r="K75" s="6"/>
      <c r="L75" t="s" s="88">
        <v>3391</v>
      </c>
      <c r="M75" t="s" s="89">
        <v>3392</v>
      </c>
    </row>
    <row r="76" ht="26.25" customHeight="1">
      <c r="A76" s="112"/>
      <c r="B76" s="113"/>
      <c r="C76" s="113"/>
      <c r="D76" s="6"/>
      <c r="E76" s="6"/>
      <c r="F76" s="6"/>
      <c r="G76" s="6"/>
      <c r="H76" s="6"/>
      <c r="I76" s="113"/>
      <c r="J76" s="113"/>
      <c r="K76" s="6"/>
      <c r="L76" t="s" s="88">
        <v>3393</v>
      </c>
      <c r="M76" t="s" s="89">
        <v>3394</v>
      </c>
    </row>
    <row r="77" ht="26.25" customHeight="1">
      <c r="A77" s="112"/>
      <c r="B77" s="113"/>
      <c r="C77" s="113"/>
      <c r="D77" s="6"/>
      <c r="E77" s="6"/>
      <c r="F77" s="6"/>
      <c r="G77" s="6"/>
      <c r="H77" s="6"/>
      <c r="I77" s="113"/>
      <c r="J77" s="113"/>
      <c r="K77" s="6"/>
      <c r="L77" t="s" s="88">
        <v>3395</v>
      </c>
      <c r="M77" t="s" s="89">
        <v>3396</v>
      </c>
    </row>
    <row r="78" ht="26.25" customHeight="1">
      <c r="A78" s="112"/>
      <c r="B78" s="113"/>
      <c r="C78" s="113"/>
      <c r="D78" s="6"/>
      <c r="E78" s="6"/>
      <c r="F78" s="6"/>
      <c r="G78" s="6"/>
      <c r="H78" s="6"/>
      <c r="I78" s="113"/>
      <c r="J78" s="113"/>
      <c r="K78" s="6"/>
      <c r="L78" t="s" s="88">
        <v>3397</v>
      </c>
      <c r="M78" t="s" s="89">
        <v>3398</v>
      </c>
    </row>
    <row r="79" ht="26.25" customHeight="1">
      <c r="A79" s="112"/>
      <c r="B79" s="113"/>
      <c r="C79" s="113"/>
      <c r="D79" s="6"/>
      <c r="E79" s="6"/>
      <c r="F79" s="6"/>
      <c r="G79" s="6"/>
      <c r="H79" s="6"/>
      <c r="I79" s="113"/>
      <c r="J79" s="113"/>
      <c r="K79" s="6"/>
      <c r="L79" t="s" s="88">
        <v>3399</v>
      </c>
      <c r="M79" t="s" s="89">
        <v>3400</v>
      </c>
    </row>
    <row r="80" ht="26.25" customHeight="1">
      <c r="A80" s="112"/>
      <c r="B80" s="113"/>
      <c r="C80" s="113"/>
      <c r="D80" s="6"/>
      <c r="E80" s="6"/>
      <c r="F80" s="6"/>
      <c r="G80" s="6"/>
      <c r="H80" s="6"/>
      <c r="I80" s="113"/>
      <c r="J80" s="113"/>
      <c r="K80" s="6"/>
      <c r="L80" t="s" s="88">
        <v>3401</v>
      </c>
      <c r="M80" t="s" s="89">
        <v>3402</v>
      </c>
    </row>
    <row r="81" ht="26.25" customHeight="1">
      <c r="A81" s="112"/>
      <c r="B81" s="113"/>
      <c r="C81" s="113"/>
      <c r="D81" s="6"/>
      <c r="E81" s="6"/>
      <c r="F81" s="6"/>
      <c r="G81" s="6"/>
      <c r="H81" s="6"/>
      <c r="I81" s="113"/>
      <c r="J81" s="113"/>
      <c r="K81" s="6"/>
      <c r="L81" t="s" s="88">
        <v>3403</v>
      </c>
      <c r="M81" t="s" s="89">
        <v>3404</v>
      </c>
    </row>
    <row r="82" ht="26.25" customHeight="1">
      <c r="A82" s="112"/>
      <c r="B82" s="113"/>
      <c r="C82" s="113"/>
      <c r="D82" s="6"/>
      <c r="E82" s="6"/>
      <c r="F82" s="6"/>
      <c r="G82" s="6"/>
      <c r="H82" s="6"/>
      <c r="I82" s="113"/>
      <c r="J82" s="113"/>
      <c r="K82" s="6"/>
      <c r="L82" t="s" s="88">
        <v>3405</v>
      </c>
      <c r="M82" t="s" s="89">
        <v>3406</v>
      </c>
    </row>
    <row r="83" ht="26.25" customHeight="1">
      <c r="A83" s="112"/>
      <c r="B83" s="113"/>
      <c r="C83" s="113"/>
      <c r="D83" s="6"/>
      <c r="E83" s="6"/>
      <c r="F83" s="6"/>
      <c r="G83" s="6"/>
      <c r="H83" s="6"/>
      <c r="I83" s="113"/>
      <c r="J83" s="113"/>
      <c r="K83" s="6"/>
      <c r="L83" t="s" s="88">
        <v>3407</v>
      </c>
      <c r="M83" t="s" s="89">
        <v>3408</v>
      </c>
    </row>
    <row r="84" ht="26.25" customHeight="1">
      <c r="A84" s="112"/>
      <c r="B84" s="113"/>
      <c r="C84" s="113"/>
      <c r="D84" s="6"/>
      <c r="E84" s="6"/>
      <c r="F84" s="6"/>
      <c r="G84" s="6"/>
      <c r="H84" s="6"/>
      <c r="I84" s="113"/>
      <c r="J84" s="113"/>
      <c r="K84" s="6"/>
      <c r="L84" t="s" s="88">
        <v>3409</v>
      </c>
      <c r="M84" t="s" s="89">
        <v>3410</v>
      </c>
    </row>
    <row r="85" ht="26.25" customHeight="1">
      <c r="A85" s="112"/>
      <c r="B85" s="113"/>
      <c r="C85" s="113"/>
      <c r="D85" s="6"/>
      <c r="E85" s="6"/>
      <c r="F85" s="6"/>
      <c r="G85" s="6"/>
      <c r="H85" s="6"/>
      <c r="I85" s="113"/>
      <c r="J85" s="113"/>
      <c r="K85" s="6"/>
      <c r="L85" t="s" s="88">
        <v>3411</v>
      </c>
      <c r="M85" t="s" s="89">
        <v>3412</v>
      </c>
    </row>
    <row r="86" ht="26.25" customHeight="1">
      <c r="A86" s="112"/>
      <c r="B86" s="113"/>
      <c r="C86" s="113"/>
      <c r="D86" s="6"/>
      <c r="E86" s="6"/>
      <c r="F86" s="6"/>
      <c r="G86" s="6"/>
      <c r="H86" s="6"/>
      <c r="I86" s="113"/>
      <c r="J86" s="113"/>
      <c r="K86" s="6"/>
      <c r="L86" t="s" s="88">
        <v>3413</v>
      </c>
      <c r="M86" t="s" s="89">
        <v>3414</v>
      </c>
    </row>
    <row r="87" ht="26.25" customHeight="1">
      <c r="A87" s="112"/>
      <c r="B87" s="113"/>
      <c r="C87" s="113"/>
      <c r="D87" s="6"/>
      <c r="E87" s="6"/>
      <c r="F87" s="6"/>
      <c r="G87" s="6"/>
      <c r="H87" s="6"/>
      <c r="I87" s="113"/>
      <c r="J87" s="113"/>
      <c r="K87" s="6"/>
      <c r="L87" t="s" s="88">
        <v>3415</v>
      </c>
      <c r="M87" t="s" s="89">
        <v>3416</v>
      </c>
    </row>
    <row r="88" ht="26.25" customHeight="1">
      <c r="A88" s="112"/>
      <c r="B88" s="113"/>
      <c r="C88" s="113"/>
      <c r="D88" s="6"/>
      <c r="E88" s="6"/>
      <c r="F88" s="6"/>
      <c r="G88" s="6"/>
      <c r="H88" s="6"/>
      <c r="I88" s="113"/>
      <c r="J88" s="113"/>
      <c r="K88" s="6"/>
      <c r="L88" t="s" s="88">
        <v>3417</v>
      </c>
      <c r="M88" t="s" s="89">
        <v>3418</v>
      </c>
    </row>
    <row r="89" ht="26.25" customHeight="1">
      <c r="A89" s="112"/>
      <c r="B89" s="113"/>
      <c r="C89" s="113"/>
      <c r="D89" s="6"/>
      <c r="E89" s="6"/>
      <c r="F89" s="6"/>
      <c r="G89" s="6"/>
      <c r="H89" s="6"/>
      <c r="I89" s="113"/>
      <c r="J89" s="113"/>
      <c r="K89" s="6"/>
      <c r="L89" t="s" s="88">
        <v>3419</v>
      </c>
      <c r="M89" t="s" s="89">
        <v>3420</v>
      </c>
    </row>
    <row r="90" ht="26.25" customHeight="1">
      <c r="A90" s="112"/>
      <c r="B90" s="113"/>
      <c r="C90" s="113"/>
      <c r="D90" s="6"/>
      <c r="E90" s="6"/>
      <c r="F90" s="6"/>
      <c r="G90" s="6"/>
      <c r="H90" s="6"/>
      <c r="I90" s="113"/>
      <c r="J90" s="113"/>
      <c r="K90" s="6"/>
      <c r="L90" t="s" s="88">
        <v>3421</v>
      </c>
      <c r="M90" t="s" s="89">
        <v>3422</v>
      </c>
    </row>
    <row r="91" ht="19.5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t="s" s="88">
        <v>3423</v>
      </c>
      <c r="M91" t="s" s="89">
        <v>3424</v>
      </c>
    </row>
    <row r="92" ht="19.5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t="s" s="88">
        <v>3425</v>
      </c>
      <c r="M92" t="s" s="89">
        <v>3426</v>
      </c>
    </row>
    <row r="93" ht="19.5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t="s" s="88">
        <v>3427</v>
      </c>
      <c r="M93" t="s" s="89">
        <v>3428</v>
      </c>
    </row>
    <row r="94" ht="19.5" customHeight="1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t="s" s="88">
        <v>3429</v>
      </c>
      <c r="M94" t="s" s="89">
        <v>3430</v>
      </c>
    </row>
    <row r="95" ht="19.5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t="s" s="88">
        <v>3431</v>
      </c>
      <c r="M95" t="s" s="89">
        <v>3432</v>
      </c>
    </row>
    <row r="96" ht="19.5" customHeight="1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t="s" s="88">
        <v>3433</v>
      </c>
      <c r="M96" t="s" s="89">
        <v>3434</v>
      </c>
    </row>
    <row r="97" ht="19.5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t="s" s="88">
        <v>3435</v>
      </c>
      <c r="M97" t="s" s="89">
        <v>3436</v>
      </c>
    </row>
    <row r="98" ht="19.5" customHeight="1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t="s" s="88">
        <v>3437</v>
      </c>
      <c r="M98" t="s" s="89">
        <v>3438</v>
      </c>
    </row>
    <row r="99" ht="19.5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t="s" s="88">
        <v>3439</v>
      </c>
      <c r="M99" t="s" s="89">
        <v>3440</v>
      </c>
    </row>
    <row r="100" ht="19.5" customHeight="1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t="s" s="88">
        <v>3441</v>
      </c>
      <c r="M100" t="s" s="89">
        <v>3442</v>
      </c>
    </row>
    <row r="101" ht="19.5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t="s" s="88">
        <v>3443</v>
      </c>
      <c r="M101" t="s" s="89">
        <v>3444</v>
      </c>
    </row>
    <row r="102" ht="19.5" customHeight="1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t="s" s="88">
        <v>3445</v>
      </c>
      <c r="M102" t="s" s="89">
        <v>3446</v>
      </c>
    </row>
    <row r="103" ht="19.5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t="s" s="88">
        <v>3447</v>
      </c>
      <c r="M103" t="s" s="89">
        <v>3448</v>
      </c>
    </row>
    <row r="104" ht="19.5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t="s" s="88">
        <v>3449</v>
      </c>
      <c r="M104" t="s" s="89">
        <v>3450</v>
      </c>
    </row>
    <row r="105" ht="19.5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t="s" s="88">
        <v>3451</v>
      </c>
      <c r="M105" t="s" s="89">
        <v>3452</v>
      </c>
    </row>
    <row r="106" ht="19.5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t="s" s="88">
        <v>3453</v>
      </c>
      <c r="M106" t="s" s="89">
        <v>3454</v>
      </c>
    </row>
    <row r="107" ht="19.5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t="s" s="88">
        <v>3455</v>
      </c>
      <c r="M107" t="s" s="89">
        <v>3456</v>
      </c>
    </row>
    <row r="108" ht="19.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t="s" s="88">
        <v>3457</v>
      </c>
      <c r="M108" t="s" s="89">
        <v>3458</v>
      </c>
    </row>
    <row r="109" ht="19.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t="s" s="88">
        <v>3459</v>
      </c>
      <c r="M109" t="s" s="89">
        <v>3460</v>
      </c>
    </row>
    <row r="110" ht="19.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t="s" s="88">
        <v>3461</v>
      </c>
      <c r="M110" t="s" s="89">
        <v>3462</v>
      </c>
    </row>
    <row r="111" ht="19.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t="s" s="88">
        <v>3463</v>
      </c>
      <c r="M111" t="s" s="89">
        <v>3464</v>
      </c>
    </row>
    <row r="112" ht="19.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t="s" s="88">
        <v>3465</v>
      </c>
      <c r="M112" t="s" s="89">
        <v>3466</v>
      </c>
    </row>
    <row r="113" ht="19.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t="s" s="88">
        <v>3467</v>
      </c>
      <c r="M113" t="s" s="89">
        <v>3468</v>
      </c>
    </row>
    <row r="114" ht="19.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t="s" s="88">
        <v>3469</v>
      </c>
      <c r="M114" t="s" s="89">
        <v>3470</v>
      </c>
    </row>
    <row r="115" ht="19.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t="s" s="88">
        <v>3471</v>
      </c>
      <c r="M115" t="s" s="89">
        <v>3472</v>
      </c>
    </row>
    <row r="116" ht="19.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t="s" s="88">
        <v>3473</v>
      </c>
      <c r="M116" t="s" s="89">
        <v>3474</v>
      </c>
    </row>
    <row r="117" ht="19.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t="s" s="88">
        <v>3475</v>
      </c>
      <c r="M117" t="s" s="89">
        <v>3476</v>
      </c>
    </row>
    <row r="118" ht="19.5" customHeight="1">
      <c r="A118" s="15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t="s" s="115">
        <v>3477</v>
      </c>
      <c r="M118" s="116"/>
    </row>
  </sheetData>
  <mergeCells count="48">
    <mergeCell ref="E40:F41"/>
    <mergeCell ref="G40:H41"/>
    <mergeCell ref="J40:K41"/>
    <mergeCell ref="J38:K38"/>
    <mergeCell ref="A39:B39"/>
    <mergeCell ref="C39:D39"/>
    <mergeCell ref="E39:F39"/>
    <mergeCell ref="G39:H39"/>
    <mergeCell ref="I39:I41"/>
    <mergeCell ref="J39:K39"/>
    <mergeCell ref="A40:B41"/>
    <mergeCell ref="C40:D41"/>
    <mergeCell ref="J37:K37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25:K25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13:K13"/>
    <mergeCell ref="A1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</mergeCells>
  <pageMargins left="0" right="0" top="0" bottom="0" header="0" footer="0"/>
  <pageSetup firstPageNumber="1" fitToHeight="1" fitToWidth="1" scale="65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M38"/>
  <sheetViews>
    <sheetView workbookViewId="0" showGridLines="0" defaultGridColor="1"/>
  </sheetViews>
  <sheetFormatPr defaultColWidth="8.83333" defaultRowHeight="16.5" customHeight="1" outlineLevelRow="0" outlineLevelCol="0"/>
  <cols>
    <col min="1" max="1" width="9.85156" style="117" customWidth="1"/>
    <col min="2" max="2" width="10.6719" style="117" customWidth="1"/>
    <col min="3" max="3" width="10.3516" style="117" customWidth="1"/>
    <col min="4" max="4" width="11.1719" style="117" customWidth="1"/>
    <col min="5" max="5" width="10.1719" style="117" customWidth="1"/>
    <col min="6" max="6" width="10.8516" style="117" customWidth="1"/>
    <col min="7" max="7" width="11.8516" style="117" customWidth="1"/>
    <col min="8" max="8" width="13" style="117" customWidth="1"/>
    <col min="9" max="9" width="13.1719" style="117" customWidth="1"/>
    <col min="10" max="10" width="12.3516" style="117" customWidth="1"/>
    <col min="11" max="11" width="13.8516" style="117" customWidth="1"/>
    <col min="12" max="13" width="8.85156" style="117" customWidth="1"/>
    <col min="14" max="16384" width="8.85156" style="117" customWidth="1"/>
  </cols>
  <sheetData>
    <row r="1" ht="16" customHeight="1">
      <c r="A1" t="s" s="84">
        <v>2957</v>
      </c>
      <c r="B1" s="67"/>
      <c r="C1" s="67"/>
      <c r="D1" s="67"/>
      <c r="E1" s="67"/>
      <c r="F1" s="67"/>
      <c r="G1" s="67"/>
      <c r="H1" s="67"/>
      <c r="I1" s="67"/>
      <c r="J1" s="67"/>
      <c r="K1" s="118"/>
      <c r="L1" s="119"/>
      <c r="M1" s="119"/>
    </row>
    <row r="2" ht="1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118"/>
      <c r="L2" s="120"/>
      <c r="M2" s="120"/>
    </row>
    <row r="3" ht="26.25" customHeight="1">
      <c r="A3" t="s" s="90">
        <v>2920</v>
      </c>
      <c r="B3" t="s" s="90">
        <v>2921</v>
      </c>
      <c r="C3" t="s" s="90">
        <v>2922</v>
      </c>
      <c r="D3" t="s" s="90">
        <v>2923</v>
      </c>
      <c r="E3" t="s" s="90">
        <v>52</v>
      </c>
      <c r="F3" t="s" s="90">
        <v>2924</v>
      </c>
      <c r="G3" t="s" s="90">
        <v>2925</v>
      </c>
      <c r="H3" t="s" s="90">
        <v>2962</v>
      </c>
      <c r="I3" t="s" s="90">
        <v>2927</v>
      </c>
      <c r="J3" t="s" s="90">
        <v>2928</v>
      </c>
      <c r="K3" t="s" s="90">
        <v>2929</v>
      </c>
      <c r="L3" t="s" s="90">
        <v>2963</v>
      </c>
      <c r="M3" s="95"/>
    </row>
    <row r="4" ht="26.25" customHeight="1">
      <c r="A4" t="s" s="90">
        <v>2932</v>
      </c>
      <c r="B4" t="s" s="90">
        <v>2933</v>
      </c>
      <c r="C4" t="s" s="90">
        <v>2934</v>
      </c>
      <c r="D4" t="s" s="90">
        <v>2935</v>
      </c>
      <c r="E4" t="s" s="90">
        <v>2936</v>
      </c>
      <c r="F4" t="s" s="90">
        <v>2937</v>
      </c>
      <c r="G4" t="s" s="90">
        <v>2938</v>
      </c>
      <c r="H4" t="s" s="121">
        <v>3478</v>
      </c>
      <c r="I4" s="122"/>
      <c r="J4" s="122"/>
      <c r="K4" s="123"/>
      <c r="L4" s="95"/>
      <c r="M4" s="95"/>
    </row>
    <row r="5" ht="26.25" customHeight="1">
      <c r="A5" t="s" s="90">
        <v>2940</v>
      </c>
      <c r="B5" t="s" s="90">
        <v>2940</v>
      </c>
      <c r="C5" t="s" s="90">
        <v>2940</v>
      </c>
      <c r="D5" t="s" s="90">
        <v>2940</v>
      </c>
      <c r="E5" t="s" s="90">
        <v>2940</v>
      </c>
      <c r="F5" t="s" s="90">
        <v>2940</v>
      </c>
      <c r="G5" t="s" s="90">
        <v>2940</v>
      </c>
      <c r="H5" t="s" s="90">
        <v>2940</v>
      </c>
      <c r="I5" t="s" s="90">
        <v>2940</v>
      </c>
      <c r="J5" t="s" s="90">
        <v>2940</v>
      </c>
      <c r="K5" t="s" s="90">
        <v>2940</v>
      </c>
      <c r="L5" s="95"/>
      <c r="M5" s="95"/>
    </row>
    <row r="6" ht="26.25" customHeight="1">
      <c r="A6" t="s" s="90">
        <v>2941</v>
      </c>
      <c r="B6" t="s" s="90">
        <v>2942</v>
      </c>
      <c r="C6" t="s" s="90">
        <v>2943</v>
      </c>
      <c r="D6" t="s" s="90">
        <v>2944</v>
      </c>
      <c r="E6" t="s" s="90">
        <v>2945</v>
      </c>
      <c r="F6" t="s" s="90">
        <v>2946</v>
      </c>
      <c r="G6" t="s" s="90">
        <v>2947</v>
      </c>
      <c r="H6" t="s" s="90">
        <v>2948</v>
      </c>
      <c r="I6" t="s" s="90">
        <v>2949</v>
      </c>
      <c r="J6" s="36"/>
      <c r="K6" s="36"/>
      <c r="L6" s="95"/>
      <c r="M6" s="95"/>
    </row>
    <row r="7" ht="26.25" customHeight="1">
      <c r="A7" t="s" s="90">
        <v>2972</v>
      </c>
      <c r="B7" t="s" s="90">
        <v>2972</v>
      </c>
      <c r="C7" t="s" s="90">
        <v>2972</v>
      </c>
      <c r="D7" t="s" s="90">
        <v>2972</v>
      </c>
      <c r="E7" t="s" s="90">
        <v>2972</v>
      </c>
      <c r="F7" t="s" s="90">
        <v>2972</v>
      </c>
      <c r="G7" t="s" s="90">
        <v>2972</v>
      </c>
      <c r="H7" t="s" s="90">
        <v>2972</v>
      </c>
      <c r="I7" t="s" s="90">
        <v>2972</v>
      </c>
      <c r="J7" t="s" s="90">
        <v>2972</v>
      </c>
      <c r="K7" t="s" s="90">
        <v>2972</v>
      </c>
      <c r="L7" s="95"/>
      <c r="M7" s="95"/>
    </row>
    <row r="8" ht="26.25" customHeight="1">
      <c r="A8" t="s" s="94">
        <v>2975</v>
      </c>
      <c r="B8" t="s" s="94">
        <v>2976</v>
      </c>
      <c r="C8" t="s" s="94">
        <v>2977</v>
      </c>
      <c r="D8" t="s" s="94">
        <v>2978</v>
      </c>
      <c r="E8" t="s" s="94">
        <v>2979</v>
      </c>
      <c r="F8" t="s" s="94">
        <v>2980</v>
      </c>
      <c r="G8" t="s" s="94">
        <v>2981</v>
      </c>
      <c r="H8" t="s" s="94">
        <v>2982</v>
      </c>
      <c r="I8" t="s" s="94">
        <v>2983</v>
      </c>
      <c r="J8" t="s" s="94">
        <v>3191</v>
      </c>
      <c r="K8" t="s" s="94">
        <v>3192</v>
      </c>
      <c r="L8" s="95"/>
      <c r="M8" s="95"/>
    </row>
    <row r="9" ht="26.25" customHeight="1">
      <c r="A9" t="s" s="94">
        <v>2986</v>
      </c>
      <c r="B9" t="s" s="94">
        <v>2987</v>
      </c>
      <c r="C9" t="s" s="94">
        <v>2988</v>
      </c>
      <c r="D9" t="s" s="94">
        <v>2989</v>
      </c>
      <c r="E9" t="s" s="94">
        <v>2990</v>
      </c>
      <c r="F9" t="s" s="94">
        <v>2991</v>
      </c>
      <c r="G9" t="s" s="94">
        <v>2992</v>
      </c>
      <c r="H9" t="s" s="94">
        <v>2993</v>
      </c>
      <c r="I9" t="s" s="94">
        <v>2994</v>
      </c>
      <c r="J9" t="s" s="94">
        <v>3202</v>
      </c>
      <c r="K9" t="s" s="94">
        <v>3203</v>
      </c>
      <c r="L9" s="95"/>
      <c r="M9" s="95"/>
    </row>
    <row r="10" ht="26.25" customHeight="1">
      <c r="A10" t="s" s="94">
        <v>2997</v>
      </c>
      <c r="B10" t="s" s="94">
        <v>2998</v>
      </c>
      <c r="C10" t="s" s="94">
        <v>2999</v>
      </c>
      <c r="D10" t="s" s="94">
        <v>3000</v>
      </c>
      <c r="E10" t="s" s="94">
        <v>3001</v>
      </c>
      <c r="F10" t="s" s="94">
        <v>3002</v>
      </c>
      <c r="G10" t="s" s="94">
        <v>3003</v>
      </c>
      <c r="H10" t="s" s="94">
        <v>3004</v>
      </c>
      <c r="I10" t="s" s="94">
        <v>3005</v>
      </c>
      <c r="J10" t="s" s="94">
        <v>3213</v>
      </c>
      <c r="K10" t="s" s="94">
        <v>3214</v>
      </c>
      <c r="L10" s="95"/>
      <c r="M10" s="95"/>
    </row>
    <row r="11" ht="26.25" customHeight="1">
      <c r="A11" t="s" s="94">
        <v>3008</v>
      </c>
      <c r="B11" t="s" s="94">
        <v>3009</v>
      </c>
      <c r="C11" t="s" s="94">
        <v>3010</v>
      </c>
      <c r="D11" t="s" s="94">
        <v>3011</v>
      </c>
      <c r="E11" t="s" s="94">
        <v>3012</v>
      </c>
      <c r="F11" t="s" s="94">
        <v>3013</v>
      </c>
      <c r="G11" t="s" s="94">
        <v>3014</v>
      </c>
      <c r="H11" t="s" s="94">
        <v>3015</v>
      </c>
      <c r="I11" t="s" s="94">
        <v>3016</v>
      </c>
      <c r="J11" t="s" s="94">
        <v>3224</v>
      </c>
      <c r="K11" t="s" s="94">
        <v>3225</v>
      </c>
      <c r="L11" s="95"/>
      <c r="M11" s="95"/>
    </row>
    <row r="12" ht="26.25" customHeight="1">
      <c r="A12" t="s" s="94">
        <v>3019</v>
      </c>
      <c r="B12" t="s" s="94">
        <v>3020</v>
      </c>
      <c r="C12" t="s" s="94">
        <v>3021</v>
      </c>
      <c r="D12" t="s" s="94">
        <v>3022</v>
      </c>
      <c r="E12" t="s" s="94">
        <v>3023</v>
      </c>
      <c r="F12" t="s" s="94">
        <v>3024</v>
      </c>
      <c r="G12" t="s" s="94">
        <v>3025</v>
      </c>
      <c r="H12" t="s" s="94">
        <v>3026</v>
      </c>
      <c r="I12" t="s" s="94">
        <v>3027</v>
      </c>
      <c r="J12" t="s" s="94">
        <v>3235</v>
      </c>
      <c r="K12" t="s" s="94">
        <v>3236</v>
      </c>
      <c r="L12" s="95"/>
      <c r="M12" s="95"/>
    </row>
    <row r="13" ht="26.25" customHeight="1">
      <c r="A13" t="s" s="94">
        <v>3030</v>
      </c>
      <c r="B13" t="s" s="94">
        <v>3031</v>
      </c>
      <c r="C13" t="s" s="94">
        <v>3032</v>
      </c>
      <c r="D13" t="s" s="94">
        <v>3033</v>
      </c>
      <c r="E13" t="s" s="94">
        <v>3034</v>
      </c>
      <c r="F13" t="s" s="94">
        <v>3035</v>
      </c>
      <c r="G13" t="s" s="94">
        <v>3036</v>
      </c>
      <c r="H13" t="s" s="94">
        <v>3037</v>
      </c>
      <c r="I13" t="s" s="94">
        <v>3038</v>
      </c>
      <c r="J13" t="s" s="94">
        <v>3246</v>
      </c>
      <c r="K13" t="s" s="94">
        <v>3247</v>
      </c>
      <c r="L13" s="95"/>
      <c r="M13" s="95"/>
    </row>
    <row r="14" ht="26.25" customHeight="1">
      <c r="A14" t="s" s="94">
        <v>3041</v>
      </c>
      <c r="B14" t="s" s="94">
        <v>3042</v>
      </c>
      <c r="C14" t="s" s="94">
        <v>3043</v>
      </c>
      <c r="D14" t="s" s="94">
        <v>3044</v>
      </c>
      <c r="E14" t="s" s="94">
        <v>3045</v>
      </c>
      <c r="F14" t="s" s="94">
        <v>3046</v>
      </c>
      <c r="G14" t="s" s="94">
        <v>3047</v>
      </c>
      <c r="H14" t="s" s="94">
        <v>3048</v>
      </c>
      <c r="I14" t="s" s="94">
        <v>3049</v>
      </c>
      <c r="J14" t="s" s="94">
        <v>3257</v>
      </c>
      <c r="K14" t="s" s="94">
        <v>3258</v>
      </c>
      <c r="L14" s="95"/>
      <c r="M14" s="95"/>
    </row>
    <row r="15" ht="26.25" customHeight="1">
      <c r="A15" t="s" s="94">
        <v>3052</v>
      </c>
      <c r="B15" t="s" s="94">
        <v>3053</v>
      </c>
      <c r="C15" t="s" s="94">
        <v>3054</v>
      </c>
      <c r="D15" t="s" s="94">
        <v>3055</v>
      </c>
      <c r="E15" t="s" s="94">
        <v>3056</v>
      </c>
      <c r="F15" t="s" s="94">
        <v>3057</v>
      </c>
      <c r="G15" t="s" s="94">
        <v>3058</v>
      </c>
      <c r="H15" t="s" s="94">
        <v>3059</v>
      </c>
      <c r="I15" t="s" s="94">
        <v>3060</v>
      </c>
      <c r="J15" t="s" s="94">
        <v>3268</v>
      </c>
      <c r="K15" t="s" s="94">
        <v>3269</v>
      </c>
      <c r="L15" s="95"/>
      <c r="M15" s="95"/>
    </row>
    <row r="16" ht="26.25" customHeight="1">
      <c r="A16" t="s" s="94">
        <v>3063</v>
      </c>
      <c r="B16" t="s" s="94">
        <v>3064</v>
      </c>
      <c r="C16" t="s" s="94">
        <v>3065</v>
      </c>
      <c r="D16" t="s" s="94">
        <v>3066</v>
      </c>
      <c r="E16" t="s" s="94">
        <v>3067</v>
      </c>
      <c r="F16" t="s" s="94">
        <v>3068</v>
      </c>
      <c r="G16" t="s" s="94">
        <v>3069</v>
      </c>
      <c r="H16" t="s" s="94">
        <v>3070</v>
      </c>
      <c r="I16" t="s" s="94">
        <v>3071</v>
      </c>
      <c r="J16" t="s" s="94">
        <v>3279</v>
      </c>
      <c r="K16" t="s" s="94">
        <v>3280</v>
      </c>
      <c r="L16" s="95"/>
      <c r="M16" s="95"/>
    </row>
    <row r="17" ht="26.25" customHeight="1">
      <c r="A17" t="s" s="94">
        <v>3074</v>
      </c>
      <c r="B17" t="s" s="94">
        <v>3075</v>
      </c>
      <c r="C17" t="s" s="94">
        <v>3076</v>
      </c>
      <c r="D17" t="s" s="94">
        <v>3077</v>
      </c>
      <c r="E17" t="s" s="94">
        <v>3078</v>
      </c>
      <c r="F17" t="s" s="94">
        <v>3079</v>
      </c>
      <c r="G17" t="s" s="94">
        <v>3080</v>
      </c>
      <c r="H17" t="s" s="94">
        <v>3081</v>
      </c>
      <c r="I17" t="s" s="94">
        <v>3082</v>
      </c>
      <c r="J17" t="s" s="94">
        <v>3290</v>
      </c>
      <c r="K17" t="s" s="94">
        <v>3291</v>
      </c>
      <c r="L17" s="95"/>
      <c r="M17" s="95"/>
    </row>
    <row r="18" ht="26.25" customHeight="1">
      <c r="A18" t="s" s="94">
        <v>3085</v>
      </c>
      <c r="B18" t="s" s="94">
        <v>3086</v>
      </c>
      <c r="C18" t="s" s="94">
        <v>3087</v>
      </c>
      <c r="D18" t="s" s="94">
        <v>3088</v>
      </c>
      <c r="E18" t="s" s="94">
        <v>3089</v>
      </c>
      <c r="F18" t="s" s="94">
        <v>3090</v>
      </c>
      <c r="G18" t="s" s="94">
        <v>3091</v>
      </c>
      <c r="H18" t="s" s="94">
        <v>3092</v>
      </c>
      <c r="I18" t="s" s="94">
        <v>3093</v>
      </c>
      <c r="J18" t="s" s="94">
        <v>3301</v>
      </c>
      <c r="K18" t="s" s="94">
        <v>3302</v>
      </c>
      <c r="L18" s="95"/>
      <c r="M18" s="95"/>
    </row>
    <row r="19" ht="26.25" customHeight="1">
      <c r="A19" t="s" s="94">
        <v>3096</v>
      </c>
      <c r="B19" t="s" s="94">
        <v>3097</v>
      </c>
      <c r="C19" t="s" s="94">
        <v>3098</v>
      </c>
      <c r="D19" t="s" s="94">
        <v>3099</v>
      </c>
      <c r="E19" t="s" s="94">
        <v>3100</v>
      </c>
      <c r="F19" t="s" s="94">
        <v>3101</v>
      </c>
      <c r="G19" t="s" s="94">
        <v>3102</v>
      </c>
      <c r="H19" t="s" s="94">
        <v>3103</v>
      </c>
      <c r="I19" t="s" s="94">
        <v>3104</v>
      </c>
      <c r="J19" t="s" s="94">
        <v>3307</v>
      </c>
      <c r="K19" t="s" s="94">
        <v>3181</v>
      </c>
      <c r="L19" s="95"/>
      <c r="M19" s="95"/>
    </row>
    <row r="20" ht="26.25" customHeight="1">
      <c r="A20" t="s" s="94">
        <v>3107</v>
      </c>
      <c r="B20" t="s" s="94">
        <v>3108</v>
      </c>
      <c r="C20" t="s" s="94">
        <v>3109</v>
      </c>
      <c r="D20" t="s" s="94">
        <v>3110</v>
      </c>
      <c r="E20" t="s" s="94">
        <v>3111</v>
      </c>
      <c r="F20" t="s" s="94">
        <v>3112</v>
      </c>
      <c r="G20" t="s" s="94">
        <v>3113</v>
      </c>
      <c r="H20" t="s" s="94">
        <v>3114</v>
      </c>
      <c r="I20" t="s" s="94">
        <v>3115</v>
      </c>
      <c r="J20" t="s" s="94">
        <v>3147</v>
      </c>
      <c r="K20" t="s" s="94">
        <v>3148</v>
      </c>
      <c r="L20" s="95"/>
      <c r="M20" s="95"/>
    </row>
    <row r="21" ht="26.25" customHeight="1">
      <c r="A21" t="s" s="94">
        <v>3118</v>
      </c>
      <c r="B21" t="s" s="94">
        <v>3119</v>
      </c>
      <c r="C21" t="s" s="94">
        <v>3120</v>
      </c>
      <c r="D21" t="s" s="94">
        <v>3121</v>
      </c>
      <c r="E21" t="s" s="94">
        <v>3122</v>
      </c>
      <c r="F21" t="s" s="94">
        <v>3123</v>
      </c>
      <c r="G21" t="s" s="94">
        <v>3124</v>
      </c>
      <c r="H21" t="s" s="94">
        <v>3125</v>
      </c>
      <c r="I21" t="s" s="94">
        <v>3126</v>
      </c>
      <c r="J21" t="s" s="94">
        <v>3158</v>
      </c>
      <c r="K21" t="s" s="94">
        <v>3159</v>
      </c>
      <c r="L21" s="95"/>
      <c r="M21" s="95"/>
    </row>
    <row r="22" ht="26.25" customHeight="1">
      <c r="A22" t="s" s="94">
        <v>3129</v>
      </c>
      <c r="B22" t="s" s="94">
        <v>3130</v>
      </c>
      <c r="C22" t="s" s="94">
        <v>3131</v>
      </c>
      <c r="D22" t="s" s="94">
        <v>3132</v>
      </c>
      <c r="E22" t="s" s="94">
        <v>3133</v>
      </c>
      <c r="F22" t="s" s="94">
        <v>3134</v>
      </c>
      <c r="G22" t="s" s="94">
        <v>3135</v>
      </c>
      <c r="H22" t="s" s="94">
        <v>3136</v>
      </c>
      <c r="I22" t="s" s="94">
        <v>3137</v>
      </c>
      <c r="J22" t="s" s="94">
        <v>3169</v>
      </c>
      <c r="K22" t="s" s="94">
        <v>3170</v>
      </c>
      <c r="L22" s="95"/>
      <c r="M22" s="95"/>
    </row>
    <row r="23" ht="26.25" customHeight="1">
      <c r="A23" t="s" s="94">
        <v>3140</v>
      </c>
      <c r="B23" t="s" s="94">
        <v>3141</v>
      </c>
      <c r="C23" t="s" s="94">
        <v>3142</v>
      </c>
      <c r="D23" t="s" s="94">
        <v>3143</v>
      </c>
      <c r="E23" t="s" s="94">
        <v>3144</v>
      </c>
      <c r="F23" t="s" s="94">
        <v>3145</v>
      </c>
      <c r="G23" t="s" s="94">
        <v>3146</v>
      </c>
      <c r="H23" t="s" s="94">
        <v>3180</v>
      </c>
      <c r="I23" s="36"/>
      <c r="J23" s="36"/>
      <c r="K23" s="36"/>
      <c r="L23" s="95"/>
      <c r="M23" s="95"/>
    </row>
    <row r="24" ht="26.25" customHeight="1">
      <c r="A24" t="s" s="94">
        <v>3151</v>
      </c>
      <c r="B24" t="s" s="94">
        <v>3152</v>
      </c>
      <c r="C24" t="s" s="94">
        <v>3153</v>
      </c>
      <c r="D24" t="s" s="94">
        <v>3154</v>
      </c>
      <c r="E24" t="s" s="94">
        <v>3155</v>
      </c>
      <c r="F24" t="s" s="94">
        <v>3156</v>
      </c>
      <c r="G24" t="s" s="94">
        <v>3157</v>
      </c>
      <c r="H24" s="36"/>
      <c r="I24" s="36"/>
      <c r="J24" s="36"/>
      <c r="K24" s="36"/>
      <c r="L24" s="95"/>
      <c r="M24" s="95"/>
    </row>
    <row r="25" ht="26.25" customHeight="1">
      <c r="A25" t="s" s="94">
        <v>3162</v>
      </c>
      <c r="B25" t="s" s="94">
        <v>3163</v>
      </c>
      <c r="C25" t="s" s="94">
        <v>3164</v>
      </c>
      <c r="D25" t="s" s="94">
        <v>3165</v>
      </c>
      <c r="E25" t="s" s="94">
        <v>3166</v>
      </c>
      <c r="F25" t="s" s="94">
        <v>3167</v>
      </c>
      <c r="G25" t="s" s="94">
        <v>3168</v>
      </c>
      <c r="H25" s="36"/>
      <c r="I25" s="36"/>
      <c r="J25" s="36"/>
      <c r="K25" s="36"/>
      <c r="L25" s="95"/>
      <c r="M25" s="95"/>
    </row>
    <row r="26" ht="26.25" customHeight="1">
      <c r="A26" t="s" s="94">
        <v>3173</v>
      </c>
      <c r="B26" t="s" s="94">
        <v>3174</v>
      </c>
      <c r="C26" t="s" s="94">
        <v>3175</v>
      </c>
      <c r="D26" t="s" s="94">
        <v>3176</v>
      </c>
      <c r="E26" t="s" s="94">
        <v>3177</v>
      </c>
      <c r="F26" t="s" s="94">
        <v>3178</v>
      </c>
      <c r="G26" t="s" s="94">
        <v>3179</v>
      </c>
      <c r="H26" s="36"/>
      <c r="I26" s="36"/>
      <c r="J26" s="36"/>
      <c r="K26" s="36"/>
      <c r="L26" s="95"/>
      <c r="M26" s="95"/>
    </row>
    <row r="27" ht="26.25" customHeight="1">
      <c r="A27" t="s" s="94">
        <v>3184</v>
      </c>
      <c r="B27" t="s" s="94">
        <v>3185</v>
      </c>
      <c r="C27" t="s" s="94">
        <v>3186</v>
      </c>
      <c r="D27" t="s" s="94">
        <v>3187</v>
      </c>
      <c r="E27" t="s" s="94">
        <v>3188</v>
      </c>
      <c r="F27" t="s" s="94">
        <v>3189</v>
      </c>
      <c r="G27" t="s" s="94">
        <v>3190</v>
      </c>
      <c r="H27" s="36"/>
      <c r="I27" s="36"/>
      <c r="J27" s="36"/>
      <c r="K27" s="36"/>
      <c r="L27" s="95"/>
      <c r="M27" s="95"/>
    </row>
    <row r="28" ht="26.25" customHeight="1">
      <c r="A28" t="s" s="94">
        <v>3195</v>
      </c>
      <c r="B28" t="s" s="94">
        <v>3196</v>
      </c>
      <c r="C28" t="s" s="94">
        <v>3197</v>
      </c>
      <c r="D28" t="s" s="94">
        <v>3198</v>
      </c>
      <c r="E28" t="s" s="94">
        <v>3199</v>
      </c>
      <c r="F28" t="s" s="94">
        <v>3200</v>
      </c>
      <c r="G28" t="s" s="94">
        <v>3201</v>
      </c>
      <c r="H28" s="36"/>
      <c r="I28" s="36"/>
      <c r="J28" s="36"/>
      <c r="K28" s="36"/>
      <c r="L28" s="95"/>
      <c r="M28" s="95"/>
    </row>
    <row r="29" ht="26.25" customHeight="1">
      <c r="A29" t="s" s="94">
        <v>3206</v>
      </c>
      <c r="B29" t="s" s="94">
        <v>3207</v>
      </c>
      <c r="C29" t="s" s="94">
        <v>3208</v>
      </c>
      <c r="D29" t="s" s="94">
        <v>3209</v>
      </c>
      <c r="E29" t="s" s="94">
        <v>3210</v>
      </c>
      <c r="F29" t="s" s="94">
        <v>3211</v>
      </c>
      <c r="G29" t="s" s="94">
        <v>3212</v>
      </c>
      <c r="H29" s="36"/>
      <c r="I29" s="36"/>
      <c r="J29" s="36"/>
      <c r="K29" s="36"/>
      <c r="L29" s="95"/>
      <c r="M29" s="95"/>
    </row>
    <row r="30" ht="26.25" customHeight="1">
      <c r="A30" t="s" s="94">
        <v>3217</v>
      </c>
      <c r="B30" t="s" s="94">
        <v>3218</v>
      </c>
      <c r="C30" t="s" s="94">
        <v>3219</v>
      </c>
      <c r="D30" t="s" s="94">
        <v>3220</v>
      </c>
      <c r="E30" t="s" s="94">
        <v>3221</v>
      </c>
      <c r="F30" t="s" s="94">
        <v>3222</v>
      </c>
      <c r="G30" t="s" s="94">
        <v>3223</v>
      </c>
      <c r="H30" s="36"/>
      <c r="I30" s="36"/>
      <c r="J30" s="36"/>
      <c r="K30" s="36"/>
      <c r="L30" s="95"/>
      <c r="M30" s="95"/>
    </row>
    <row r="31" ht="26.25" customHeight="1">
      <c r="A31" t="s" s="94">
        <v>3228</v>
      </c>
      <c r="B31" t="s" s="94">
        <v>3229</v>
      </c>
      <c r="C31" t="s" s="94">
        <v>3230</v>
      </c>
      <c r="D31" t="s" s="94">
        <v>3231</v>
      </c>
      <c r="E31" t="s" s="94">
        <v>3232</v>
      </c>
      <c r="F31" t="s" s="94">
        <v>3233</v>
      </c>
      <c r="G31" t="s" s="94">
        <v>3234</v>
      </c>
      <c r="H31" s="36"/>
      <c r="I31" s="36"/>
      <c r="J31" s="36"/>
      <c r="K31" s="36"/>
      <c r="L31" s="95"/>
      <c r="M31" s="95"/>
    </row>
    <row r="32" ht="26.25" customHeight="1">
      <c r="A32" t="s" s="94">
        <v>3239</v>
      </c>
      <c r="B32" t="s" s="94">
        <v>3240</v>
      </c>
      <c r="C32" t="s" s="94">
        <v>3241</v>
      </c>
      <c r="D32" t="s" s="94">
        <v>3242</v>
      </c>
      <c r="E32" t="s" s="94">
        <v>3243</v>
      </c>
      <c r="F32" t="s" s="94">
        <v>3244</v>
      </c>
      <c r="G32" t="s" s="94">
        <v>3245</v>
      </c>
      <c r="H32" s="36"/>
      <c r="I32" s="36"/>
      <c r="J32" s="36"/>
      <c r="K32" s="36"/>
      <c r="L32" s="95"/>
      <c r="M32" s="95"/>
    </row>
    <row r="33" ht="26.25" customHeight="1">
      <c r="A33" t="s" s="94">
        <v>3250</v>
      </c>
      <c r="B33" t="s" s="94">
        <v>3251</v>
      </c>
      <c r="C33" t="s" s="94">
        <v>3252</v>
      </c>
      <c r="D33" t="s" s="94">
        <v>3253</v>
      </c>
      <c r="E33" t="s" s="94">
        <v>3254</v>
      </c>
      <c r="F33" t="s" s="94">
        <v>3255</v>
      </c>
      <c r="G33" t="s" s="94">
        <v>3256</v>
      </c>
      <c r="H33" s="36"/>
      <c r="I33" s="36"/>
      <c r="J33" s="36"/>
      <c r="K33" s="36"/>
      <c r="L33" s="95"/>
      <c r="M33" s="95"/>
    </row>
    <row r="34" ht="26.25" customHeight="1">
      <c r="A34" t="s" s="94">
        <v>3261</v>
      </c>
      <c r="B34" t="s" s="94">
        <v>3262</v>
      </c>
      <c r="C34" t="s" s="94">
        <v>3263</v>
      </c>
      <c r="D34" t="s" s="94">
        <v>3264</v>
      </c>
      <c r="E34" t="s" s="94">
        <v>3265</v>
      </c>
      <c r="F34" t="s" s="94">
        <v>3266</v>
      </c>
      <c r="G34" t="s" s="94">
        <v>3267</v>
      </c>
      <c r="H34" s="36"/>
      <c r="I34" s="36"/>
      <c r="J34" s="36"/>
      <c r="K34" s="36"/>
      <c r="L34" s="95"/>
      <c r="M34" s="95"/>
    </row>
    <row r="35" ht="26.25" customHeight="1">
      <c r="A35" t="s" s="94">
        <v>3272</v>
      </c>
      <c r="B35" t="s" s="94">
        <v>3273</v>
      </c>
      <c r="C35" t="s" s="94">
        <v>3274</v>
      </c>
      <c r="D35" t="s" s="94">
        <v>3275</v>
      </c>
      <c r="E35" t="s" s="94">
        <v>3276</v>
      </c>
      <c r="F35" t="s" s="94">
        <v>3277</v>
      </c>
      <c r="G35" t="s" s="94">
        <v>3278</v>
      </c>
      <c r="H35" s="36"/>
      <c r="I35" s="36"/>
      <c r="J35" s="36"/>
      <c r="K35" s="36"/>
      <c r="L35" s="95"/>
      <c r="M35" s="95"/>
    </row>
    <row r="36" ht="26.25" customHeight="1">
      <c r="A36" t="s" s="94">
        <v>3283</v>
      </c>
      <c r="B36" t="s" s="94">
        <v>3284</v>
      </c>
      <c r="C36" t="s" s="94">
        <v>3285</v>
      </c>
      <c r="D36" t="s" s="94">
        <v>3286</v>
      </c>
      <c r="E36" t="s" s="94">
        <v>3287</v>
      </c>
      <c r="F36" t="s" s="94">
        <v>3288</v>
      </c>
      <c r="G36" t="s" s="94">
        <v>3289</v>
      </c>
      <c r="H36" s="36"/>
      <c r="I36" s="36"/>
      <c r="J36" s="36"/>
      <c r="K36" s="36"/>
      <c r="L36" s="95"/>
      <c r="M36" s="95"/>
    </row>
    <row r="37" ht="26.25" customHeight="1">
      <c r="A37" t="s" s="94">
        <v>3294</v>
      </c>
      <c r="B37" t="s" s="94">
        <v>3295</v>
      </c>
      <c r="C37" t="s" s="94">
        <v>3296</v>
      </c>
      <c r="D37" t="s" s="94">
        <v>3297</v>
      </c>
      <c r="E37" t="s" s="94">
        <v>3298</v>
      </c>
      <c r="F37" t="s" s="94">
        <v>3299</v>
      </c>
      <c r="G37" t="s" s="94">
        <v>3300</v>
      </c>
      <c r="H37" s="36"/>
      <c r="I37" s="36"/>
      <c r="J37" s="36"/>
      <c r="K37" s="36"/>
      <c r="L37" s="95"/>
      <c r="M37" s="95"/>
    </row>
    <row r="38" ht="26.25" customHeight="1">
      <c r="A38" t="s" s="94">
        <v>3305</v>
      </c>
      <c r="B38" s="95"/>
      <c r="C38" s="95"/>
      <c r="D38" s="36"/>
      <c r="E38" s="36"/>
      <c r="F38" s="36"/>
      <c r="G38" t="s" s="94">
        <v>3306</v>
      </c>
      <c r="H38" s="36"/>
      <c r="I38" s="36"/>
      <c r="J38" s="36"/>
      <c r="K38" s="36"/>
      <c r="L38" s="95"/>
      <c r="M38" s="95"/>
    </row>
  </sheetData>
  <mergeCells count="38">
    <mergeCell ref="L13:M13"/>
    <mergeCell ref="A1:K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22:M22"/>
    <mergeCell ref="L23:M23"/>
    <mergeCell ref="L24:M24"/>
    <mergeCell ref="L25:M25"/>
    <mergeCell ref="L14:M14"/>
    <mergeCell ref="L15:M15"/>
    <mergeCell ref="L16:M16"/>
    <mergeCell ref="L17:M17"/>
    <mergeCell ref="L18:M18"/>
    <mergeCell ref="L19:M19"/>
    <mergeCell ref="L38:M38"/>
    <mergeCell ref="H4:K4"/>
    <mergeCell ref="L32:M32"/>
    <mergeCell ref="L33:M33"/>
    <mergeCell ref="L34:M34"/>
    <mergeCell ref="L35:M35"/>
    <mergeCell ref="L36:M36"/>
    <mergeCell ref="L37:M37"/>
    <mergeCell ref="L26:M26"/>
    <mergeCell ref="L27:M27"/>
    <mergeCell ref="L28:M28"/>
    <mergeCell ref="L29:M29"/>
    <mergeCell ref="L30:M30"/>
    <mergeCell ref="L31:M31"/>
    <mergeCell ref="L20:M20"/>
    <mergeCell ref="L21:M2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J1197"/>
  <sheetViews>
    <sheetView workbookViewId="0" showGridLines="0" defaultGridColor="1"/>
  </sheetViews>
  <sheetFormatPr defaultColWidth="8.83333" defaultRowHeight="26.25" customHeight="1" outlineLevelRow="0" outlineLevelCol="0"/>
  <cols>
    <col min="1" max="1" width="25.8516" style="124" customWidth="1"/>
    <col min="2" max="2" width="22.1719" style="124" customWidth="1"/>
    <col min="3" max="3" width="19.8516" style="124" customWidth="1"/>
    <col min="4" max="4" width="16.8516" style="124" customWidth="1"/>
    <col min="5" max="5" width="23.6719" style="124" customWidth="1"/>
    <col min="6" max="6" width="35.6719" style="124" customWidth="1"/>
    <col min="7" max="7" width="16.6719" style="124" customWidth="1"/>
    <col min="8" max="10" width="8.85156" style="124" customWidth="1"/>
    <col min="11" max="16384" width="8.85156" style="124" customWidth="1"/>
  </cols>
  <sheetData>
    <row r="1" ht="26.25" customHeight="1">
      <c r="A1" t="s" s="84">
        <v>3479</v>
      </c>
      <c r="B1" s="125"/>
      <c r="C1" s="125"/>
      <c r="D1" s="125"/>
      <c r="E1" s="125"/>
      <c r="F1" s="125"/>
      <c r="G1" s="125"/>
      <c r="H1" s="68"/>
      <c r="I1" s="3"/>
      <c r="J1" s="4"/>
    </row>
    <row r="2" ht="26.25" customHeight="1">
      <c r="A2" s="125"/>
      <c r="B2" s="125"/>
      <c r="C2" s="125"/>
      <c r="D2" s="125"/>
      <c r="E2" s="125"/>
      <c r="F2" s="125"/>
      <c r="G2" s="125"/>
      <c r="H2" s="30"/>
      <c r="I2" s="6"/>
      <c r="J2" s="7"/>
    </row>
    <row r="3" ht="22" customHeight="1">
      <c r="A3" t="s" s="126">
        <v>3480</v>
      </c>
      <c r="B3" t="s" s="126">
        <v>3481</v>
      </c>
      <c r="C3" t="s" s="126">
        <v>3482</v>
      </c>
      <c r="D3" t="s" s="126">
        <v>3483</v>
      </c>
      <c r="E3" t="s" s="126">
        <v>3484</v>
      </c>
      <c r="F3" t="s" s="126">
        <v>2963</v>
      </c>
      <c r="G3" t="s" s="127">
        <v>3485</v>
      </c>
      <c r="H3" s="30"/>
      <c r="I3" s="6"/>
      <c r="J3" s="7"/>
    </row>
    <row r="4" ht="22" customHeight="1">
      <c r="A4" t="s" s="128">
        <v>3486</v>
      </c>
      <c r="B4" t="s" s="126">
        <v>3487</v>
      </c>
      <c r="C4" t="s" s="126">
        <v>3487</v>
      </c>
      <c r="D4" t="s" s="126">
        <v>3487</v>
      </c>
      <c r="E4" t="s" s="126">
        <v>3488</v>
      </c>
      <c r="F4" s="36"/>
      <c r="G4" t="s" s="90">
        <v>3489</v>
      </c>
      <c r="H4" s="30"/>
      <c r="I4" s="6"/>
      <c r="J4" s="7"/>
    </row>
    <row r="5" ht="22" customHeight="1">
      <c r="A5" t="s" s="128">
        <v>3490</v>
      </c>
      <c r="B5" t="s" s="126">
        <v>3487</v>
      </c>
      <c r="C5" t="s" s="126">
        <v>3487</v>
      </c>
      <c r="D5" t="s" s="126">
        <v>3487</v>
      </c>
      <c r="E5" t="s" s="126">
        <v>3488</v>
      </c>
      <c r="F5" s="36"/>
      <c r="G5" t="s" s="90">
        <v>3489</v>
      </c>
      <c r="H5" s="30"/>
      <c r="I5" s="6"/>
      <c r="J5" s="7"/>
    </row>
    <row r="6" ht="22" customHeight="1">
      <c r="A6" t="s" s="128">
        <v>3491</v>
      </c>
      <c r="B6" t="s" s="126">
        <v>3487</v>
      </c>
      <c r="C6" t="s" s="126">
        <v>3487</v>
      </c>
      <c r="D6" t="s" s="126">
        <v>3487</v>
      </c>
      <c r="E6" t="s" s="126">
        <v>3487</v>
      </c>
      <c r="F6" s="36"/>
      <c r="G6" t="s" s="90">
        <v>3489</v>
      </c>
      <c r="H6" s="30"/>
      <c r="I6" s="6"/>
      <c r="J6" s="7"/>
    </row>
    <row r="7" ht="22" customHeight="1">
      <c r="A7" t="s" s="128">
        <v>3492</v>
      </c>
      <c r="B7" t="s" s="126">
        <v>3487</v>
      </c>
      <c r="C7" t="s" s="126">
        <v>3487</v>
      </c>
      <c r="D7" t="s" s="126">
        <v>3487</v>
      </c>
      <c r="E7" t="s" s="126">
        <v>3487</v>
      </c>
      <c r="F7" s="36"/>
      <c r="G7" t="s" s="90">
        <v>3489</v>
      </c>
      <c r="H7" s="30"/>
      <c r="I7" s="6"/>
      <c r="J7" s="7"/>
    </row>
    <row r="8" ht="22" customHeight="1">
      <c r="A8" t="s" s="128">
        <v>3493</v>
      </c>
      <c r="B8" t="s" s="126">
        <v>3487</v>
      </c>
      <c r="C8" t="s" s="126">
        <v>3487</v>
      </c>
      <c r="D8" t="s" s="126">
        <v>3487</v>
      </c>
      <c r="E8" t="s" s="126">
        <v>3487</v>
      </c>
      <c r="F8" s="36"/>
      <c r="G8" t="s" s="90">
        <v>3489</v>
      </c>
      <c r="H8" s="30"/>
      <c r="I8" s="6"/>
      <c r="J8" s="7"/>
    </row>
    <row r="9" ht="22" customHeight="1">
      <c r="A9" t="s" s="128">
        <v>3287</v>
      </c>
      <c r="B9" t="s" s="126">
        <v>3487</v>
      </c>
      <c r="C9" t="s" s="126">
        <v>3487</v>
      </c>
      <c r="D9" t="s" s="126">
        <v>3487</v>
      </c>
      <c r="E9" t="s" s="126">
        <v>3487</v>
      </c>
      <c r="F9" s="36"/>
      <c r="G9" t="s" s="90">
        <v>3489</v>
      </c>
      <c r="H9" s="30"/>
      <c r="I9" s="6"/>
      <c r="J9" s="7"/>
    </row>
    <row r="10" ht="22" customHeight="1">
      <c r="A10" t="s" s="128">
        <v>3494</v>
      </c>
      <c r="B10" t="s" s="126">
        <v>3487</v>
      </c>
      <c r="C10" t="s" s="126">
        <v>3487</v>
      </c>
      <c r="D10" t="s" s="126">
        <v>3487</v>
      </c>
      <c r="E10" t="s" s="126">
        <v>3487</v>
      </c>
      <c r="F10" s="36"/>
      <c r="G10" t="s" s="90">
        <v>3489</v>
      </c>
      <c r="H10" s="30"/>
      <c r="I10" s="6"/>
      <c r="J10" s="7"/>
    </row>
    <row r="11" ht="22" customHeight="1">
      <c r="A11" t="s" s="128">
        <v>3495</v>
      </c>
      <c r="B11" t="s" s="126">
        <v>3487</v>
      </c>
      <c r="C11" t="s" s="126">
        <v>3487</v>
      </c>
      <c r="D11" t="s" s="126">
        <v>3487</v>
      </c>
      <c r="E11" t="s" s="126">
        <v>3487</v>
      </c>
      <c r="F11" s="36"/>
      <c r="G11" t="s" s="90">
        <v>3489</v>
      </c>
      <c r="H11" s="30"/>
      <c r="I11" s="6"/>
      <c r="J11" s="7"/>
    </row>
    <row r="12" ht="22" customHeight="1">
      <c r="A12" t="s" s="128">
        <v>3209</v>
      </c>
      <c r="B12" t="s" s="126">
        <v>3487</v>
      </c>
      <c r="C12" t="s" s="126">
        <v>3487</v>
      </c>
      <c r="D12" t="s" s="126">
        <v>3487</v>
      </c>
      <c r="E12" t="s" s="126">
        <v>3487</v>
      </c>
      <c r="F12" s="36"/>
      <c r="G12" t="s" s="90">
        <v>3489</v>
      </c>
      <c r="H12" s="30"/>
      <c r="I12" s="6"/>
      <c r="J12" s="7"/>
    </row>
    <row r="13" ht="22" customHeight="1">
      <c r="A13" t="s" s="128">
        <v>2998</v>
      </c>
      <c r="B13" t="s" s="126">
        <v>3487</v>
      </c>
      <c r="C13" t="s" s="126">
        <v>3487</v>
      </c>
      <c r="D13" t="s" s="126">
        <v>3487</v>
      </c>
      <c r="E13" t="s" s="126">
        <v>3487</v>
      </c>
      <c r="F13" s="36"/>
      <c r="G13" t="s" s="90">
        <v>3489</v>
      </c>
      <c r="H13" s="30"/>
      <c r="I13" s="6"/>
      <c r="J13" s="7"/>
    </row>
    <row r="14" ht="22" customHeight="1">
      <c r="A14" t="s" s="128">
        <v>3496</v>
      </c>
      <c r="B14" t="s" s="126">
        <v>3487</v>
      </c>
      <c r="C14" t="s" s="126">
        <v>3487</v>
      </c>
      <c r="D14" t="s" s="126">
        <v>3487</v>
      </c>
      <c r="E14" t="s" s="126">
        <v>3487</v>
      </c>
      <c r="F14" s="36"/>
      <c r="G14" t="s" s="90">
        <v>3489</v>
      </c>
      <c r="H14" s="30"/>
      <c r="I14" s="6"/>
      <c r="J14" s="7"/>
    </row>
    <row r="15" ht="22" customHeight="1">
      <c r="A15" t="s" s="128">
        <v>3497</v>
      </c>
      <c r="B15" t="s" s="126">
        <v>3487</v>
      </c>
      <c r="C15" t="s" s="126">
        <v>3487</v>
      </c>
      <c r="D15" t="s" s="126">
        <v>3487</v>
      </c>
      <c r="E15" t="s" s="126">
        <v>3487</v>
      </c>
      <c r="F15" s="36"/>
      <c r="G15" t="s" s="90">
        <v>3489</v>
      </c>
      <c r="H15" s="30"/>
      <c r="I15" s="6"/>
      <c r="J15" s="7"/>
    </row>
    <row r="16" ht="22" customHeight="1">
      <c r="A16" t="s" s="128">
        <v>3498</v>
      </c>
      <c r="B16" t="s" s="126">
        <v>3487</v>
      </c>
      <c r="C16" t="s" s="126">
        <v>3487</v>
      </c>
      <c r="D16" t="s" s="126">
        <v>3487</v>
      </c>
      <c r="E16" t="s" s="126">
        <v>3487</v>
      </c>
      <c r="F16" s="36"/>
      <c r="G16" t="s" s="90">
        <v>3489</v>
      </c>
      <c r="H16" s="30"/>
      <c r="I16" s="6"/>
      <c r="J16" s="7"/>
    </row>
    <row r="17" ht="22" customHeight="1">
      <c r="A17" t="s" s="128">
        <v>3499</v>
      </c>
      <c r="B17" t="s" s="126">
        <v>3487</v>
      </c>
      <c r="C17" t="s" s="126">
        <v>3487</v>
      </c>
      <c r="D17" t="s" s="126">
        <v>3487</v>
      </c>
      <c r="E17" t="s" s="126">
        <v>3487</v>
      </c>
      <c r="F17" s="36"/>
      <c r="G17" t="s" s="90">
        <v>3489</v>
      </c>
      <c r="H17" s="30"/>
      <c r="I17" s="6"/>
      <c r="J17" s="7"/>
    </row>
    <row r="18" ht="22" customHeight="1">
      <c r="A18" t="s" s="128">
        <v>3500</v>
      </c>
      <c r="B18" t="s" s="126">
        <v>3487</v>
      </c>
      <c r="C18" t="s" s="126">
        <v>3487</v>
      </c>
      <c r="D18" t="s" s="126">
        <v>3487</v>
      </c>
      <c r="E18" t="s" s="126">
        <v>3487</v>
      </c>
      <c r="F18" s="36"/>
      <c r="G18" t="s" s="90">
        <v>3489</v>
      </c>
      <c r="H18" s="30"/>
      <c r="I18" s="6"/>
      <c r="J18" s="7"/>
    </row>
    <row r="19" ht="22" customHeight="1">
      <c r="A19" t="s" s="128">
        <v>3501</v>
      </c>
      <c r="B19" t="s" s="126">
        <v>3487</v>
      </c>
      <c r="C19" t="s" s="126">
        <v>3487</v>
      </c>
      <c r="D19" t="s" s="126">
        <v>3487</v>
      </c>
      <c r="E19" t="s" s="126">
        <v>3487</v>
      </c>
      <c r="F19" s="36"/>
      <c r="G19" t="s" s="90">
        <v>3489</v>
      </c>
      <c r="H19" s="30"/>
      <c r="I19" s="6"/>
      <c r="J19" s="7"/>
    </row>
    <row r="20" ht="22" customHeight="1">
      <c r="A20" t="s" s="128">
        <v>3502</v>
      </c>
      <c r="B20" t="s" s="126">
        <v>3487</v>
      </c>
      <c r="C20" t="s" s="126">
        <v>3487</v>
      </c>
      <c r="D20" t="s" s="126">
        <v>3487</v>
      </c>
      <c r="E20" t="s" s="126">
        <v>3487</v>
      </c>
      <c r="F20" s="36"/>
      <c r="G20" t="s" s="90">
        <v>3489</v>
      </c>
      <c r="H20" s="30"/>
      <c r="I20" s="6"/>
      <c r="J20" s="7"/>
    </row>
    <row r="21" ht="22" customHeight="1">
      <c r="A21" t="s" s="128">
        <v>3503</v>
      </c>
      <c r="B21" t="s" s="126">
        <v>3487</v>
      </c>
      <c r="C21" t="s" s="126">
        <v>3487</v>
      </c>
      <c r="D21" t="s" s="126">
        <v>3487</v>
      </c>
      <c r="E21" t="s" s="126">
        <v>3487</v>
      </c>
      <c r="F21" s="36"/>
      <c r="G21" t="s" s="90">
        <v>3489</v>
      </c>
      <c r="H21" s="30"/>
      <c r="I21" s="6"/>
      <c r="J21" s="7"/>
    </row>
    <row r="22" ht="22" customHeight="1">
      <c r="A22" t="s" s="128">
        <v>3504</v>
      </c>
      <c r="B22" t="s" s="126">
        <v>3487</v>
      </c>
      <c r="C22" t="s" s="126">
        <v>3487</v>
      </c>
      <c r="D22" t="s" s="126">
        <v>3487</v>
      </c>
      <c r="E22" t="s" s="126">
        <v>3487</v>
      </c>
      <c r="F22" s="36"/>
      <c r="G22" t="s" s="90">
        <v>3489</v>
      </c>
      <c r="H22" s="30"/>
      <c r="I22" s="6"/>
      <c r="J22" s="7"/>
    </row>
    <row r="23" ht="22" customHeight="1">
      <c r="A23" t="s" s="128">
        <v>3505</v>
      </c>
      <c r="B23" t="s" s="126">
        <v>3487</v>
      </c>
      <c r="C23" t="s" s="126">
        <v>3487</v>
      </c>
      <c r="D23" t="s" s="126">
        <v>3487</v>
      </c>
      <c r="E23" t="s" s="126">
        <v>3487</v>
      </c>
      <c r="F23" s="36"/>
      <c r="G23" t="s" s="90">
        <v>3489</v>
      </c>
      <c r="H23" s="30"/>
      <c r="I23" s="6"/>
      <c r="J23" s="7"/>
    </row>
    <row r="24" ht="22" customHeight="1">
      <c r="A24" t="s" s="128">
        <v>3506</v>
      </c>
      <c r="B24" t="s" s="126">
        <v>3487</v>
      </c>
      <c r="C24" t="s" s="126">
        <v>3487</v>
      </c>
      <c r="D24" t="s" s="126">
        <v>3487</v>
      </c>
      <c r="E24" t="s" s="126">
        <v>3487</v>
      </c>
      <c r="F24" s="36"/>
      <c r="G24" t="s" s="90">
        <v>3489</v>
      </c>
      <c r="H24" s="30"/>
      <c r="I24" s="6"/>
      <c r="J24" s="7"/>
    </row>
    <row r="25" ht="22" customHeight="1">
      <c r="A25" t="s" s="128">
        <v>3507</v>
      </c>
      <c r="B25" t="s" s="126">
        <v>3487</v>
      </c>
      <c r="C25" t="s" s="126">
        <v>3487</v>
      </c>
      <c r="D25" t="s" s="126">
        <v>3487</v>
      </c>
      <c r="E25" t="s" s="126">
        <v>3487</v>
      </c>
      <c r="F25" s="36"/>
      <c r="G25" t="s" s="90">
        <v>3489</v>
      </c>
      <c r="H25" s="30"/>
      <c r="I25" s="6"/>
      <c r="J25" s="7"/>
    </row>
    <row r="26" ht="22" customHeight="1">
      <c r="A26" t="s" s="128">
        <v>3508</v>
      </c>
      <c r="B26" t="s" s="126">
        <v>3487</v>
      </c>
      <c r="C26" t="s" s="126">
        <v>3487</v>
      </c>
      <c r="D26" t="s" s="126">
        <v>3487</v>
      </c>
      <c r="E26" t="s" s="126">
        <v>3487</v>
      </c>
      <c r="F26" s="36"/>
      <c r="G26" t="s" s="90">
        <v>3489</v>
      </c>
      <c r="H26" s="30"/>
      <c r="I26" s="6"/>
      <c r="J26" s="7"/>
    </row>
    <row r="27" ht="22" customHeight="1">
      <c r="A27" t="s" s="128">
        <v>3266</v>
      </c>
      <c r="B27" t="s" s="126">
        <v>3487</v>
      </c>
      <c r="C27" t="s" s="126">
        <v>3487</v>
      </c>
      <c r="D27" t="s" s="126">
        <v>3487</v>
      </c>
      <c r="E27" t="s" s="126">
        <v>3487</v>
      </c>
      <c r="F27" s="36"/>
      <c r="G27" t="s" s="90">
        <v>3489</v>
      </c>
      <c r="H27" s="30"/>
      <c r="I27" s="6"/>
      <c r="J27" s="7"/>
    </row>
    <row r="28" ht="22" customHeight="1">
      <c r="A28" t="s" s="128">
        <v>3509</v>
      </c>
      <c r="B28" t="s" s="126">
        <v>3487</v>
      </c>
      <c r="C28" t="s" s="126">
        <v>3487</v>
      </c>
      <c r="D28" t="s" s="126">
        <v>3487</v>
      </c>
      <c r="E28" t="s" s="126">
        <v>3487</v>
      </c>
      <c r="F28" s="36"/>
      <c r="G28" t="s" s="90">
        <v>3489</v>
      </c>
      <c r="H28" s="30"/>
      <c r="I28" s="6"/>
      <c r="J28" s="7"/>
    </row>
    <row r="29" ht="22" customHeight="1">
      <c r="A29" t="s" s="128">
        <v>3510</v>
      </c>
      <c r="B29" t="s" s="126">
        <v>3487</v>
      </c>
      <c r="C29" t="s" s="126">
        <v>3487</v>
      </c>
      <c r="D29" t="s" s="126">
        <v>3487</v>
      </c>
      <c r="E29" t="s" s="126">
        <v>3487</v>
      </c>
      <c r="F29" s="36"/>
      <c r="G29" t="s" s="90">
        <v>3489</v>
      </c>
      <c r="H29" s="30"/>
      <c r="I29" s="6"/>
      <c r="J29" s="7"/>
    </row>
    <row r="30" ht="22" customHeight="1">
      <c r="A30" t="s" s="128">
        <v>3511</v>
      </c>
      <c r="B30" t="s" s="126">
        <v>3487</v>
      </c>
      <c r="C30" t="s" s="126">
        <v>3487</v>
      </c>
      <c r="D30" t="s" s="126">
        <v>3487</v>
      </c>
      <c r="E30" t="s" s="126">
        <v>3487</v>
      </c>
      <c r="F30" s="36"/>
      <c r="G30" t="s" s="90">
        <v>3489</v>
      </c>
      <c r="H30" s="30"/>
      <c r="I30" s="6"/>
      <c r="J30" s="7"/>
    </row>
    <row r="31" ht="22" customHeight="1">
      <c r="A31" t="s" s="128">
        <v>3512</v>
      </c>
      <c r="B31" t="s" s="126">
        <v>3487</v>
      </c>
      <c r="C31" t="s" s="126">
        <v>3487</v>
      </c>
      <c r="D31" t="s" s="126">
        <v>3487</v>
      </c>
      <c r="E31" t="s" s="126">
        <v>3487</v>
      </c>
      <c r="F31" s="36"/>
      <c r="G31" t="s" s="90">
        <v>3489</v>
      </c>
      <c r="H31" s="30"/>
      <c r="I31" s="6"/>
      <c r="J31" s="7"/>
    </row>
    <row r="32" ht="22" customHeight="1">
      <c r="A32" t="s" s="128">
        <v>3513</v>
      </c>
      <c r="B32" t="s" s="126">
        <v>3487</v>
      </c>
      <c r="C32" t="s" s="126">
        <v>3487</v>
      </c>
      <c r="D32" t="s" s="126">
        <v>3487</v>
      </c>
      <c r="E32" t="s" s="126">
        <v>3487</v>
      </c>
      <c r="F32" s="36"/>
      <c r="G32" t="s" s="90">
        <v>3489</v>
      </c>
      <c r="H32" s="30"/>
      <c r="I32" s="6"/>
      <c r="J32" s="7"/>
    </row>
    <row r="33" ht="22" customHeight="1">
      <c r="A33" t="s" s="128">
        <v>3514</v>
      </c>
      <c r="B33" t="s" s="126">
        <v>3487</v>
      </c>
      <c r="C33" t="s" s="126">
        <v>3487</v>
      </c>
      <c r="D33" t="s" s="126">
        <v>3487</v>
      </c>
      <c r="E33" t="s" s="126">
        <v>3487</v>
      </c>
      <c r="F33" s="36"/>
      <c r="G33" t="s" s="90">
        <v>3489</v>
      </c>
      <c r="H33" s="30"/>
      <c r="I33" s="6"/>
      <c r="J33" s="7"/>
    </row>
    <row r="34" ht="22" customHeight="1">
      <c r="A34" t="s" s="128">
        <v>3515</v>
      </c>
      <c r="B34" t="s" s="126">
        <v>3487</v>
      </c>
      <c r="C34" t="s" s="126">
        <v>3487</v>
      </c>
      <c r="D34" t="s" s="126">
        <v>3487</v>
      </c>
      <c r="E34" t="s" s="126">
        <v>3487</v>
      </c>
      <c r="F34" s="36"/>
      <c r="G34" t="s" s="90">
        <v>3489</v>
      </c>
      <c r="H34" s="30"/>
      <c r="I34" s="6"/>
      <c r="J34" s="7"/>
    </row>
    <row r="35" ht="22" customHeight="1">
      <c r="A35" t="s" s="128">
        <v>3516</v>
      </c>
      <c r="B35" t="s" s="126">
        <v>3487</v>
      </c>
      <c r="C35" t="s" s="126">
        <v>3487</v>
      </c>
      <c r="D35" t="s" s="126">
        <v>3487</v>
      </c>
      <c r="E35" t="s" s="126">
        <v>3487</v>
      </c>
      <c r="F35" s="36"/>
      <c r="G35" t="s" s="90">
        <v>3489</v>
      </c>
      <c r="H35" s="30"/>
      <c r="I35" s="6"/>
      <c r="J35" s="7"/>
    </row>
    <row r="36" ht="22" customHeight="1">
      <c r="A36" t="s" s="128">
        <v>3517</v>
      </c>
      <c r="B36" t="s" s="126">
        <v>3487</v>
      </c>
      <c r="C36" t="s" s="126">
        <v>3487</v>
      </c>
      <c r="D36" t="s" s="126">
        <v>3487</v>
      </c>
      <c r="E36" t="s" s="126">
        <v>3487</v>
      </c>
      <c r="F36" s="36"/>
      <c r="G36" t="s" s="90">
        <v>3489</v>
      </c>
      <c r="H36" s="30"/>
      <c r="I36" s="6"/>
      <c r="J36" s="7"/>
    </row>
    <row r="37" ht="22" customHeight="1">
      <c r="A37" t="s" s="128">
        <v>3518</v>
      </c>
      <c r="B37" t="s" s="126">
        <v>3487</v>
      </c>
      <c r="C37" t="s" s="126">
        <v>3487</v>
      </c>
      <c r="D37" t="s" s="126">
        <v>3487</v>
      </c>
      <c r="E37" t="s" s="126">
        <v>3487</v>
      </c>
      <c r="F37" s="36"/>
      <c r="G37" t="s" s="90">
        <v>3489</v>
      </c>
      <c r="H37" s="30"/>
      <c r="I37" s="6"/>
      <c r="J37" s="7"/>
    </row>
    <row r="38" ht="22" customHeight="1">
      <c r="A38" t="s" s="128">
        <v>3519</v>
      </c>
      <c r="B38" t="s" s="126">
        <v>3487</v>
      </c>
      <c r="C38" t="s" s="126">
        <v>3487</v>
      </c>
      <c r="D38" t="s" s="126">
        <v>3487</v>
      </c>
      <c r="E38" t="s" s="126">
        <v>3487</v>
      </c>
      <c r="F38" s="36"/>
      <c r="G38" t="s" s="90">
        <v>3489</v>
      </c>
      <c r="H38" s="30"/>
      <c r="I38" s="6"/>
      <c r="J38" s="7"/>
    </row>
    <row r="39" ht="22" customHeight="1">
      <c r="A39" t="s" s="128">
        <v>3520</v>
      </c>
      <c r="B39" t="s" s="126">
        <v>3487</v>
      </c>
      <c r="C39" t="s" s="126">
        <v>3487</v>
      </c>
      <c r="D39" t="s" s="126">
        <v>3487</v>
      </c>
      <c r="E39" t="s" s="126">
        <v>3487</v>
      </c>
      <c r="F39" s="36"/>
      <c r="G39" t="s" s="90">
        <v>3489</v>
      </c>
      <c r="H39" s="30"/>
      <c r="I39" s="6"/>
      <c r="J39" s="7"/>
    </row>
    <row r="40" ht="22" customHeight="1">
      <c r="A40" t="s" s="128">
        <v>3521</v>
      </c>
      <c r="B40" t="s" s="126">
        <v>3487</v>
      </c>
      <c r="C40" t="s" s="126">
        <v>3487</v>
      </c>
      <c r="D40" t="s" s="126">
        <v>3487</v>
      </c>
      <c r="E40" t="s" s="126">
        <v>3487</v>
      </c>
      <c r="F40" s="36"/>
      <c r="G40" t="s" s="90">
        <v>3489</v>
      </c>
      <c r="H40" s="30"/>
      <c r="I40" s="6"/>
      <c r="J40" s="7"/>
    </row>
    <row r="41" ht="22" customHeight="1">
      <c r="A41" t="s" s="128">
        <v>3522</v>
      </c>
      <c r="B41" t="s" s="126">
        <v>3487</v>
      </c>
      <c r="C41" t="s" s="126">
        <v>3487</v>
      </c>
      <c r="D41" t="s" s="126">
        <v>3487</v>
      </c>
      <c r="E41" t="s" s="126">
        <v>3487</v>
      </c>
      <c r="F41" s="36"/>
      <c r="G41" t="s" s="90">
        <v>3489</v>
      </c>
      <c r="H41" s="30"/>
      <c r="I41" s="6"/>
      <c r="J41" s="7"/>
    </row>
    <row r="42" ht="22" customHeight="1">
      <c r="A42" t="s" s="128">
        <v>3523</v>
      </c>
      <c r="B42" t="s" s="126">
        <v>3487</v>
      </c>
      <c r="C42" t="s" s="126">
        <v>3487</v>
      </c>
      <c r="D42" t="s" s="126">
        <v>3487</v>
      </c>
      <c r="E42" t="s" s="126">
        <v>3487</v>
      </c>
      <c r="F42" s="36"/>
      <c r="G42" t="s" s="90">
        <v>3489</v>
      </c>
      <c r="H42" s="30"/>
      <c r="I42" s="6"/>
      <c r="J42" s="7"/>
    </row>
    <row r="43" ht="22" customHeight="1">
      <c r="A43" t="s" s="128">
        <v>3524</v>
      </c>
      <c r="B43" t="s" s="126">
        <v>3487</v>
      </c>
      <c r="C43" t="s" s="126">
        <v>3487</v>
      </c>
      <c r="D43" t="s" s="126">
        <v>3487</v>
      </c>
      <c r="E43" t="s" s="126">
        <v>3487</v>
      </c>
      <c r="F43" s="36"/>
      <c r="G43" t="s" s="90">
        <v>3489</v>
      </c>
      <c r="H43" s="30"/>
      <c r="I43" s="6"/>
      <c r="J43" s="7"/>
    </row>
    <row r="44" ht="22" customHeight="1">
      <c r="A44" t="s" s="128">
        <v>3525</v>
      </c>
      <c r="B44" t="s" s="126">
        <v>3487</v>
      </c>
      <c r="C44" t="s" s="126">
        <v>3487</v>
      </c>
      <c r="D44" t="s" s="126">
        <v>3487</v>
      </c>
      <c r="E44" t="s" s="126">
        <v>3487</v>
      </c>
      <c r="F44" s="36"/>
      <c r="G44" t="s" s="90">
        <v>3489</v>
      </c>
      <c r="H44" s="30"/>
      <c r="I44" s="6"/>
      <c r="J44" s="7"/>
    </row>
    <row r="45" ht="22" customHeight="1">
      <c r="A45" t="s" s="128">
        <v>3526</v>
      </c>
      <c r="B45" t="s" s="126">
        <v>3487</v>
      </c>
      <c r="C45" t="s" s="126">
        <v>3487</v>
      </c>
      <c r="D45" t="s" s="126">
        <v>3487</v>
      </c>
      <c r="E45" t="s" s="126">
        <v>3487</v>
      </c>
      <c r="F45" s="36"/>
      <c r="G45" t="s" s="90">
        <v>3489</v>
      </c>
      <c r="H45" s="30"/>
      <c r="I45" s="6"/>
      <c r="J45" s="7"/>
    </row>
    <row r="46" ht="22" customHeight="1">
      <c r="A46" t="s" s="128">
        <v>3527</v>
      </c>
      <c r="B46" t="s" s="126">
        <v>3487</v>
      </c>
      <c r="C46" t="s" s="126">
        <v>3487</v>
      </c>
      <c r="D46" t="s" s="126">
        <v>3487</v>
      </c>
      <c r="E46" t="s" s="126">
        <v>3487</v>
      </c>
      <c r="F46" s="36"/>
      <c r="G46" t="s" s="90">
        <v>3489</v>
      </c>
      <c r="H46" s="30"/>
      <c r="I46" s="6"/>
      <c r="J46" s="7"/>
    </row>
    <row r="47" ht="22" customHeight="1">
      <c r="A47" t="s" s="128">
        <v>3528</v>
      </c>
      <c r="B47" t="s" s="126">
        <v>3487</v>
      </c>
      <c r="C47" t="s" s="126">
        <v>3487</v>
      </c>
      <c r="D47" t="s" s="126">
        <v>3487</v>
      </c>
      <c r="E47" t="s" s="126">
        <v>3487</v>
      </c>
      <c r="F47" s="36"/>
      <c r="G47" t="s" s="90">
        <v>3489</v>
      </c>
      <c r="H47" s="30"/>
      <c r="I47" s="6"/>
      <c r="J47" s="7"/>
    </row>
    <row r="48" ht="22" customHeight="1">
      <c r="A48" t="s" s="128">
        <v>3529</v>
      </c>
      <c r="B48" t="s" s="126">
        <v>3487</v>
      </c>
      <c r="C48" t="s" s="126">
        <v>3487</v>
      </c>
      <c r="D48" t="s" s="126">
        <v>3487</v>
      </c>
      <c r="E48" t="s" s="126">
        <v>3487</v>
      </c>
      <c r="F48" s="36"/>
      <c r="G48" t="s" s="90">
        <v>3489</v>
      </c>
      <c r="H48" s="30"/>
      <c r="I48" s="6"/>
      <c r="J48" s="7"/>
    </row>
    <row r="49" ht="22" customHeight="1">
      <c r="A49" t="s" s="128">
        <v>3530</v>
      </c>
      <c r="B49" t="s" s="126">
        <v>3487</v>
      </c>
      <c r="C49" t="s" s="126">
        <v>3487</v>
      </c>
      <c r="D49" t="s" s="126">
        <v>3487</v>
      </c>
      <c r="E49" t="s" s="126">
        <v>3487</v>
      </c>
      <c r="F49" s="36"/>
      <c r="G49" t="s" s="90">
        <v>3489</v>
      </c>
      <c r="H49" s="30"/>
      <c r="I49" s="6"/>
      <c r="J49" s="7"/>
    </row>
    <row r="50" ht="22" customHeight="1">
      <c r="A50" t="s" s="128">
        <v>3241</v>
      </c>
      <c r="B50" t="s" s="126">
        <v>3487</v>
      </c>
      <c r="C50" t="s" s="126">
        <v>3487</v>
      </c>
      <c r="D50" t="s" s="126">
        <v>3487</v>
      </c>
      <c r="E50" t="s" s="126">
        <v>3487</v>
      </c>
      <c r="F50" s="36"/>
      <c r="G50" t="s" s="90">
        <v>3489</v>
      </c>
      <c r="H50" s="30"/>
      <c r="I50" s="6"/>
      <c r="J50" s="7"/>
    </row>
    <row r="51" ht="22" customHeight="1">
      <c r="A51" t="s" s="128">
        <v>3531</v>
      </c>
      <c r="B51" t="s" s="126">
        <v>3487</v>
      </c>
      <c r="C51" t="s" s="126">
        <v>3487</v>
      </c>
      <c r="D51" t="s" s="126">
        <v>3487</v>
      </c>
      <c r="E51" t="s" s="126">
        <v>3487</v>
      </c>
      <c r="F51" s="36"/>
      <c r="G51" t="s" s="90">
        <v>3489</v>
      </c>
      <c r="H51" s="30"/>
      <c r="I51" s="6"/>
      <c r="J51" s="7"/>
    </row>
    <row r="52" ht="22" customHeight="1">
      <c r="A52" t="s" s="128">
        <v>3532</v>
      </c>
      <c r="B52" t="s" s="126">
        <v>3487</v>
      </c>
      <c r="C52" t="s" s="126">
        <v>3487</v>
      </c>
      <c r="D52" t="s" s="126">
        <v>3487</v>
      </c>
      <c r="E52" t="s" s="126">
        <v>3487</v>
      </c>
      <c r="F52" s="36"/>
      <c r="G52" t="s" s="90">
        <v>3489</v>
      </c>
      <c r="H52" s="30"/>
      <c r="I52" s="6"/>
      <c r="J52" s="7"/>
    </row>
    <row r="53" ht="22" customHeight="1">
      <c r="A53" t="s" s="128">
        <v>3533</v>
      </c>
      <c r="B53" t="s" s="126">
        <v>3487</v>
      </c>
      <c r="C53" t="s" s="126">
        <v>3487</v>
      </c>
      <c r="D53" t="s" s="126">
        <v>3487</v>
      </c>
      <c r="E53" t="s" s="126">
        <v>3487</v>
      </c>
      <c r="F53" s="36"/>
      <c r="G53" t="s" s="90">
        <v>3489</v>
      </c>
      <c r="H53" s="30"/>
      <c r="I53" s="6"/>
      <c r="J53" s="7"/>
    </row>
    <row r="54" ht="22" customHeight="1">
      <c r="A54" t="s" s="128">
        <v>3268</v>
      </c>
      <c r="B54" t="s" s="126">
        <v>3487</v>
      </c>
      <c r="C54" t="s" s="126">
        <v>3487</v>
      </c>
      <c r="D54" t="s" s="126">
        <v>3487</v>
      </c>
      <c r="E54" t="s" s="126">
        <v>3487</v>
      </c>
      <c r="F54" s="36"/>
      <c r="G54" t="s" s="90">
        <v>3489</v>
      </c>
      <c r="H54" s="30"/>
      <c r="I54" s="6"/>
      <c r="J54" s="7"/>
    </row>
    <row r="55" ht="22" customHeight="1">
      <c r="A55" t="s" s="128">
        <v>3534</v>
      </c>
      <c r="B55" t="s" s="126">
        <v>3487</v>
      </c>
      <c r="C55" t="s" s="126">
        <v>3487</v>
      </c>
      <c r="D55" t="s" s="126">
        <v>3487</v>
      </c>
      <c r="E55" t="s" s="126">
        <v>3487</v>
      </c>
      <c r="F55" s="36"/>
      <c r="G55" t="s" s="90">
        <v>3489</v>
      </c>
      <c r="H55" s="30"/>
      <c r="I55" s="6"/>
      <c r="J55" s="7"/>
    </row>
    <row r="56" ht="22" customHeight="1">
      <c r="A56" t="s" s="128">
        <v>3535</v>
      </c>
      <c r="B56" t="s" s="126">
        <v>3487</v>
      </c>
      <c r="C56" t="s" s="126">
        <v>3487</v>
      </c>
      <c r="D56" t="s" s="126">
        <v>3487</v>
      </c>
      <c r="E56" t="s" s="126">
        <v>3487</v>
      </c>
      <c r="F56" s="36"/>
      <c r="G56" t="s" s="90">
        <v>3489</v>
      </c>
      <c r="H56" s="30"/>
      <c r="I56" s="6"/>
      <c r="J56" s="7"/>
    </row>
    <row r="57" ht="22" customHeight="1">
      <c r="A57" t="s" s="128">
        <v>3536</v>
      </c>
      <c r="B57" t="s" s="126">
        <v>3487</v>
      </c>
      <c r="C57" t="s" s="126">
        <v>3487</v>
      </c>
      <c r="D57" t="s" s="126">
        <v>3487</v>
      </c>
      <c r="E57" t="s" s="126">
        <v>3487</v>
      </c>
      <c r="F57" s="36"/>
      <c r="G57" t="s" s="90">
        <v>3489</v>
      </c>
      <c r="H57" s="30"/>
      <c r="I57" s="6"/>
      <c r="J57" s="7"/>
    </row>
    <row r="58" ht="22" customHeight="1">
      <c r="A58" t="s" s="128">
        <v>3537</v>
      </c>
      <c r="B58" t="s" s="126">
        <v>3487</v>
      </c>
      <c r="C58" t="s" s="126">
        <v>3487</v>
      </c>
      <c r="D58" t="s" s="126">
        <v>3487</v>
      </c>
      <c r="E58" t="s" s="126">
        <v>3487</v>
      </c>
      <c r="F58" s="36"/>
      <c r="G58" t="s" s="90">
        <v>3489</v>
      </c>
      <c r="H58" s="30"/>
      <c r="I58" s="6"/>
      <c r="J58" s="7"/>
    </row>
    <row r="59" ht="22" customHeight="1">
      <c r="A59" t="s" s="128">
        <v>3538</v>
      </c>
      <c r="B59" t="s" s="126">
        <v>3487</v>
      </c>
      <c r="C59" t="s" s="126">
        <v>3487</v>
      </c>
      <c r="D59" t="s" s="126">
        <v>3487</v>
      </c>
      <c r="E59" t="s" s="126">
        <v>3487</v>
      </c>
      <c r="F59" s="36"/>
      <c r="G59" t="s" s="90">
        <v>3489</v>
      </c>
      <c r="H59" s="30"/>
      <c r="I59" s="6"/>
      <c r="J59" s="7"/>
    </row>
    <row r="60" ht="22" customHeight="1">
      <c r="A60" t="s" s="128">
        <v>3539</v>
      </c>
      <c r="B60" t="s" s="126">
        <v>3487</v>
      </c>
      <c r="C60" t="s" s="126">
        <v>3487</v>
      </c>
      <c r="D60" t="s" s="126">
        <v>3487</v>
      </c>
      <c r="E60" t="s" s="126">
        <v>3487</v>
      </c>
      <c r="F60" s="36"/>
      <c r="G60" t="s" s="90">
        <v>3489</v>
      </c>
      <c r="H60" s="30"/>
      <c r="I60" s="6"/>
      <c r="J60" s="7"/>
    </row>
    <row r="61" ht="22" customHeight="1">
      <c r="A61" t="s" s="128">
        <v>3540</v>
      </c>
      <c r="B61" t="s" s="126">
        <v>3487</v>
      </c>
      <c r="C61" t="s" s="126">
        <v>3487</v>
      </c>
      <c r="D61" t="s" s="126">
        <v>3487</v>
      </c>
      <c r="E61" t="s" s="126">
        <v>3487</v>
      </c>
      <c r="F61" s="36"/>
      <c r="G61" t="s" s="90">
        <v>3489</v>
      </c>
      <c r="H61" s="30"/>
      <c r="I61" s="6"/>
      <c r="J61" s="7"/>
    </row>
    <row r="62" ht="22" customHeight="1">
      <c r="A62" t="s" s="128">
        <v>3541</v>
      </c>
      <c r="B62" t="s" s="126">
        <v>3487</v>
      </c>
      <c r="C62" t="s" s="126">
        <v>3487</v>
      </c>
      <c r="D62" t="s" s="126">
        <v>3487</v>
      </c>
      <c r="E62" t="s" s="126">
        <v>3487</v>
      </c>
      <c r="F62" s="36"/>
      <c r="G62" t="s" s="90">
        <v>3489</v>
      </c>
      <c r="H62" s="30"/>
      <c r="I62" s="6"/>
      <c r="J62" s="7"/>
    </row>
    <row r="63" ht="22" customHeight="1">
      <c r="A63" t="s" s="128">
        <v>3542</v>
      </c>
      <c r="B63" t="s" s="126">
        <v>3487</v>
      </c>
      <c r="C63" t="s" s="126">
        <v>3487</v>
      </c>
      <c r="D63" t="s" s="126">
        <v>3487</v>
      </c>
      <c r="E63" t="s" s="126">
        <v>3487</v>
      </c>
      <c r="F63" s="36"/>
      <c r="G63" t="s" s="90">
        <v>3489</v>
      </c>
      <c r="H63" s="30"/>
      <c r="I63" s="6"/>
      <c r="J63" s="7"/>
    </row>
    <row r="64" ht="22" customHeight="1">
      <c r="A64" t="s" s="128">
        <v>3543</v>
      </c>
      <c r="B64" t="s" s="126">
        <v>3487</v>
      </c>
      <c r="C64" t="s" s="126">
        <v>3487</v>
      </c>
      <c r="D64" t="s" s="126">
        <v>3487</v>
      </c>
      <c r="E64" t="s" s="126">
        <v>3487</v>
      </c>
      <c r="F64" s="36"/>
      <c r="G64" t="s" s="90">
        <v>3489</v>
      </c>
      <c r="H64" s="30"/>
      <c r="I64" s="6"/>
      <c r="J64" s="7"/>
    </row>
    <row r="65" ht="22" customHeight="1">
      <c r="A65" t="s" s="128">
        <v>3544</v>
      </c>
      <c r="B65" t="s" s="126">
        <v>3487</v>
      </c>
      <c r="C65" t="s" s="126">
        <v>3487</v>
      </c>
      <c r="D65" t="s" s="126">
        <v>3487</v>
      </c>
      <c r="E65" t="s" s="126">
        <v>3487</v>
      </c>
      <c r="F65" s="36"/>
      <c r="G65" t="s" s="90">
        <v>3489</v>
      </c>
      <c r="H65" s="30"/>
      <c r="I65" s="6"/>
      <c r="J65" s="7"/>
    </row>
    <row r="66" ht="22" customHeight="1">
      <c r="A66" t="s" s="128">
        <v>3545</v>
      </c>
      <c r="B66" t="s" s="126">
        <v>3487</v>
      </c>
      <c r="C66" t="s" s="126">
        <v>3487</v>
      </c>
      <c r="D66" t="s" s="126">
        <v>3487</v>
      </c>
      <c r="E66" t="s" s="126">
        <v>3487</v>
      </c>
      <c r="F66" s="36"/>
      <c r="G66" t="s" s="90">
        <v>3489</v>
      </c>
      <c r="H66" s="30"/>
      <c r="I66" s="6"/>
      <c r="J66" s="7"/>
    </row>
    <row r="67" ht="22" customHeight="1">
      <c r="A67" t="s" s="128">
        <v>3546</v>
      </c>
      <c r="B67" t="s" s="126">
        <v>3487</v>
      </c>
      <c r="C67" t="s" s="126">
        <v>3487</v>
      </c>
      <c r="D67" t="s" s="126">
        <v>3487</v>
      </c>
      <c r="E67" t="s" s="126">
        <v>3487</v>
      </c>
      <c r="F67" s="36"/>
      <c r="G67" t="s" s="90">
        <v>3489</v>
      </c>
      <c r="H67" s="30"/>
      <c r="I67" s="6"/>
      <c r="J67" s="7"/>
    </row>
    <row r="68" ht="22" customHeight="1">
      <c r="A68" t="s" s="128">
        <v>3547</v>
      </c>
      <c r="B68" t="s" s="126">
        <v>3487</v>
      </c>
      <c r="C68" t="s" s="126">
        <v>3487</v>
      </c>
      <c r="D68" t="s" s="126">
        <v>3487</v>
      </c>
      <c r="E68" t="s" s="126">
        <v>3487</v>
      </c>
      <c r="F68" s="36"/>
      <c r="G68" t="s" s="90">
        <v>3489</v>
      </c>
      <c r="H68" s="30"/>
      <c r="I68" s="6"/>
      <c r="J68" s="7"/>
    </row>
    <row r="69" ht="22" customHeight="1">
      <c r="A69" t="s" s="128">
        <v>3548</v>
      </c>
      <c r="B69" t="s" s="126">
        <v>3487</v>
      </c>
      <c r="C69" t="s" s="126">
        <v>3487</v>
      </c>
      <c r="D69" t="s" s="126">
        <v>3487</v>
      </c>
      <c r="E69" t="s" s="126">
        <v>3487</v>
      </c>
      <c r="F69" s="36"/>
      <c r="G69" t="s" s="90">
        <v>3489</v>
      </c>
      <c r="H69" s="30"/>
      <c r="I69" s="6"/>
      <c r="J69" s="7"/>
    </row>
    <row r="70" ht="22" customHeight="1">
      <c r="A70" t="s" s="128">
        <v>3194</v>
      </c>
      <c r="B70" t="s" s="126">
        <v>3487</v>
      </c>
      <c r="C70" t="s" s="126">
        <v>3487</v>
      </c>
      <c r="D70" t="s" s="126">
        <v>3487</v>
      </c>
      <c r="E70" t="s" s="126">
        <v>3487</v>
      </c>
      <c r="F70" s="36"/>
      <c r="G70" t="s" s="90">
        <v>3489</v>
      </c>
      <c r="H70" s="30"/>
      <c r="I70" s="6"/>
      <c r="J70" s="7"/>
    </row>
    <row r="71" ht="22" customHeight="1">
      <c r="A71" t="s" s="128">
        <v>3549</v>
      </c>
      <c r="B71" t="s" s="126">
        <v>3487</v>
      </c>
      <c r="C71" t="s" s="126">
        <v>3487</v>
      </c>
      <c r="D71" t="s" s="126">
        <v>3487</v>
      </c>
      <c r="E71" t="s" s="126">
        <v>3487</v>
      </c>
      <c r="F71" s="36"/>
      <c r="G71" t="s" s="90">
        <v>3489</v>
      </c>
      <c r="H71" s="30"/>
      <c r="I71" s="6"/>
      <c r="J71" s="7"/>
    </row>
    <row r="72" ht="22" customHeight="1">
      <c r="A72" t="s" s="128">
        <v>3550</v>
      </c>
      <c r="B72" t="s" s="126">
        <v>3487</v>
      </c>
      <c r="C72" t="s" s="126">
        <v>3487</v>
      </c>
      <c r="D72" t="s" s="126">
        <v>3487</v>
      </c>
      <c r="E72" t="s" s="126">
        <v>3487</v>
      </c>
      <c r="F72" s="36"/>
      <c r="G72" t="s" s="90">
        <v>3489</v>
      </c>
      <c r="H72" s="30"/>
      <c r="I72" s="6"/>
      <c r="J72" s="7"/>
    </row>
    <row r="73" ht="22" customHeight="1">
      <c r="A73" t="s" s="128">
        <v>3551</v>
      </c>
      <c r="B73" t="s" s="126">
        <v>3487</v>
      </c>
      <c r="C73" t="s" s="126">
        <v>3487</v>
      </c>
      <c r="D73" t="s" s="126">
        <v>3487</v>
      </c>
      <c r="E73" t="s" s="126">
        <v>3487</v>
      </c>
      <c r="F73" s="36"/>
      <c r="G73" t="s" s="90">
        <v>3489</v>
      </c>
      <c r="H73" s="30"/>
      <c r="I73" s="6"/>
      <c r="J73" s="7"/>
    </row>
    <row r="74" ht="22" customHeight="1">
      <c r="A74" t="s" s="128">
        <v>3552</v>
      </c>
      <c r="B74" t="s" s="126">
        <v>3487</v>
      </c>
      <c r="C74" t="s" s="126">
        <v>3487</v>
      </c>
      <c r="D74" t="s" s="126">
        <v>3487</v>
      </c>
      <c r="E74" t="s" s="126">
        <v>3487</v>
      </c>
      <c r="F74" s="36"/>
      <c r="G74" t="s" s="90">
        <v>3489</v>
      </c>
      <c r="H74" s="30"/>
      <c r="I74" s="6"/>
      <c r="J74" s="7"/>
    </row>
    <row r="75" ht="22" customHeight="1">
      <c r="A75" t="s" s="128">
        <v>3553</v>
      </c>
      <c r="B75" t="s" s="126">
        <v>3487</v>
      </c>
      <c r="C75" t="s" s="126">
        <v>3487</v>
      </c>
      <c r="D75" t="s" s="126">
        <v>3487</v>
      </c>
      <c r="E75" t="s" s="126">
        <v>3487</v>
      </c>
      <c r="F75" s="36"/>
      <c r="G75" t="s" s="90">
        <v>3489</v>
      </c>
      <c r="H75" s="30"/>
      <c r="I75" s="6"/>
      <c r="J75" s="7"/>
    </row>
    <row r="76" ht="22" customHeight="1">
      <c r="A76" t="s" s="128">
        <v>3554</v>
      </c>
      <c r="B76" t="s" s="126">
        <v>3487</v>
      </c>
      <c r="C76" t="s" s="126">
        <v>3487</v>
      </c>
      <c r="D76" t="s" s="126">
        <v>3487</v>
      </c>
      <c r="E76" t="s" s="126">
        <v>3487</v>
      </c>
      <c r="F76" s="36"/>
      <c r="G76" t="s" s="90">
        <v>3489</v>
      </c>
      <c r="H76" s="30"/>
      <c r="I76" s="6"/>
      <c r="J76" s="7"/>
    </row>
    <row r="77" ht="22" customHeight="1">
      <c r="A77" t="s" s="128">
        <v>3043</v>
      </c>
      <c r="B77" t="s" s="126">
        <v>3487</v>
      </c>
      <c r="C77" t="s" s="126">
        <v>3487</v>
      </c>
      <c r="D77" t="s" s="126">
        <v>3487</v>
      </c>
      <c r="E77" t="s" s="126">
        <v>3487</v>
      </c>
      <c r="F77" s="36"/>
      <c r="G77" t="s" s="90">
        <v>3489</v>
      </c>
      <c r="H77" s="30"/>
      <c r="I77" s="6"/>
      <c r="J77" s="7"/>
    </row>
    <row r="78" ht="22" customHeight="1">
      <c r="A78" t="s" s="128">
        <v>3327</v>
      </c>
      <c r="B78" t="s" s="126">
        <v>3487</v>
      </c>
      <c r="C78" t="s" s="126">
        <v>3487</v>
      </c>
      <c r="D78" t="s" s="126">
        <v>3487</v>
      </c>
      <c r="E78" t="s" s="126">
        <v>3487</v>
      </c>
      <c r="F78" s="36"/>
      <c r="G78" t="s" s="90">
        <v>3489</v>
      </c>
      <c r="H78" s="30"/>
      <c r="I78" s="6"/>
      <c r="J78" s="7"/>
    </row>
    <row r="79" ht="22" customHeight="1">
      <c r="A79" t="s" s="128">
        <v>3555</v>
      </c>
      <c r="B79" t="s" s="126">
        <v>3487</v>
      </c>
      <c r="C79" t="s" s="126">
        <v>3487</v>
      </c>
      <c r="D79" t="s" s="126">
        <v>3487</v>
      </c>
      <c r="E79" t="s" s="126">
        <v>3487</v>
      </c>
      <c r="F79" s="36"/>
      <c r="G79" t="s" s="90">
        <v>3489</v>
      </c>
      <c r="H79" s="30"/>
      <c r="I79" s="6"/>
      <c r="J79" s="7"/>
    </row>
    <row r="80" ht="22" customHeight="1">
      <c r="A80" t="s" s="128">
        <v>3239</v>
      </c>
      <c r="B80" t="s" s="126">
        <v>3487</v>
      </c>
      <c r="C80" t="s" s="126">
        <v>3487</v>
      </c>
      <c r="D80" t="s" s="126">
        <v>3487</v>
      </c>
      <c r="E80" t="s" s="126">
        <v>3487</v>
      </c>
      <c r="F80" s="36"/>
      <c r="G80" t="s" s="90">
        <v>3489</v>
      </c>
      <c r="H80" s="30"/>
      <c r="I80" s="6"/>
      <c r="J80" s="7"/>
    </row>
    <row r="81" ht="22" customHeight="1">
      <c r="A81" t="s" s="128">
        <v>3556</v>
      </c>
      <c r="B81" t="s" s="126">
        <v>3487</v>
      </c>
      <c r="C81" t="s" s="126">
        <v>3487</v>
      </c>
      <c r="D81" t="s" s="126">
        <v>3487</v>
      </c>
      <c r="E81" t="s" s="126">
        <v>3487</v>
      </c>
      <c r="F81" s="36"/>
      <c r="G81" t="s" s="90">
        <v>3489</v>
      </c>
      <c r="H81" s="30"/>
      <c r="I81" s="6"/>
      <c r="J81" s="7"/>
    </row>
    <row r="82" ht="22" customHeight="1">
      <c r="A82" t="s" s="128">
        <v>3557</v>
      </c>
      <c r="B82" t="s" s="126">
        <v>3487</v>
      </c>
      <c r="C82" t="s" s="126">
        <v>3487</v>
      </c>
      <c r="D82" t="s" s="126">
        <v>3487</v>
      </c>
      <c r="E82" t="s" s="126">
        <v>3487</v>
      </c>
      <c r="F82" s="36"/>
      <c r="G82" t="s" s="90">
        <v>3489</v>
      </c>
      <c r="H82" s="30"/>
      <c r="I82" s="6"/>
      <c r="J82" s="7"/>
    </row>
    <row r="83" ht="22" customHeight="1">
      <c r="A83" t="s" s="128">
        <v>3477</v>
      </c>
      <c r="B83" t="s" s="126">
        <v>3487</v>
      </c>
      <c r="C83" t="s" s="126">
        <v>3487</v>
      </c>
      <c r="D83" t="s" s="126">
        <v>3487</v>
      </c>
      <c r="E83" t="s" s="126">
        <v>3487</v>
      </c>
      <c r="F83" s="36"/>
      <c r="G83" t="s" s="90">
        <v>3489</v>
      </c>
      <c r="H83" s="30"/>
      <c r="I83" s="6"/>
      <c r="J83" s="7"/>
    </row>
    <row r="84" ht="22" customHeight="1">
      <c r="A84" t="s" s="128">
        <v>3558</v>
      </c>
      <c r="B84" t="s" s="126">
        <v>3487</v>
      </c>
      <c r="C84" t="s" s="126">
        <v>3487</v>
      </c>
      <c r="D84" t="s" s="126">
        <v>3487</v>
      </c>
      <c r="E84" t="s" s="126">
        <v>3487</v>
      </c>
      <c r="F84" s="36"/>
      <c r="G84" t="s" s="90">
        <v>3489</v>
      </c>
      <c r="H84" s="30"/>
      <c r="I84" s="6"/>
      <c r="J84" s="7"/>
    </row>
    <row r="85" ht="22" customHeight="1">
      <c r="A85" t="s" s="128">
        <v>3559</v>
      </c>
      <c r="B85" t="s" s="126">
        <v>3487</v>
      </c>
      <c r="C85" t="s" s="126">
        <v>3487</v>
      </c>
      <c r="D85" t="s" s="126">
        <v>3487</v>
      </c>
      <c r="E85" t="s" s="126">
        <v>3487</v>
      </c>
      <c r="F85" s="36"/>
      <c r="G85" t="s" s="90">
        <v>3489</v>
      </c>
      <c r="H85" s="30"/>
      <c r="I85" s="6"/>
      <c r="J85" s="7"/>
    </row>
    <row r="86" ht="22" customHeight="1">
      <c r="A86" t="s" s="128">
        <v>3560</v>
      </c>
      <c r="B86" t="s" s="126">
        <v>3487</v>
      </c>
      <c r="C86" t="s" s="126">
        <v>3487</v>
      </c>
      <c r="D86" t="s" s="126">
        <v>3487</v>
      </c>
      <c r="E86" t="s" s="126">
        <v>3487</v>
      </c>
      <c r="F86" s="36"/>
      <c r="G86" t="s" s="90">
        <v>3489</v>
      </c>
      <c r="H86" s="30"/>
      <c r="I86" s="6"/>
      <c r="J86" s="7"/>
    </row>
    <row r="87" ht="22" customHeight="1">
      <c r="A87" t="s" s="128">
        <v>3561</v>
      </c>
      <c r="B87" t="s" s="126">
        <v>3487</v>
      </c>
      <c r="C87" t="s" s="126">
        <v>3487</v>
      </c>
      <c r="D87" t="s" s="126">
        <v>3487</v>
      </c>
      <c r="E87" t="s" s="126">
        <v>3487</v>
      </c>
      <c r="F87" s="36"/>
      <c r="G87" t="s" s="90">
        <v>3489</v>
      </c>
      <c r="H87" s="30"/>
      <c r="I87" s="6"/>
      <c r="J87" s="7"/>
    </row>
    <row r="88" ht="22" customHeight="1">
      <c r="A88" t="s" s="128">
        <v>3247</v>
      </c>
      <c r="B88" t="s" s="126">
        <v>3487</v>
      </c>
      <c r="C88" t="s" s="126">
        <v>3487</v>
      </c>
      <c r="D88" t="s" s="126">
        <v>3487</v>
      </c>
      <c r="E88" t="s" s="126">
        <v>3487</v>
      </c>
      <c r="F88" s="36"/>
      <c r="G88" t="s" s="90">
        <v>3489</v>
      </c>
      <c r="H88" s="30"/>
      <c r="I88" s="6"/>
      <c r="J88" s="7"/>
    </row>
    <row r="89" ht="22" customHeight="1">
      <c r="A89" t="s" s="128">
        <v>3562</v>
      </c>
      <c r="B89" t="s" s="126">
        <v>3487</v>
      </c>
      <c r="C89" t="s" s="126">
        <v>3487</v>
      </c>
      <c r="D89" t="s" s="126">
        <v>3487</v>
      </c>
      <c r="E89" t="s" s="126">
        <v>3487</v>
      </c>
      <c r="F89" s="36"/>
      <c r="G89" t="s" s="90">
        <v>3489</v>
      </c>
      <c r="H89" s="30"/>
      <c r="I89" s="6"/>
      <c r="J89" s="7"/>
    </row>
    <row r="90" ht="22" customHeight="1">
      <c r="A90" t="s" s="128">
        <v>3563</v>
      </c>
      <c r="B90" t="s" s="126">
        <v>3487</v>
      </c>
      <c r="C90" t="s" s="126">
        <v>3487</v>
      </c>
      <c r="D90" t="s" s="126">
        <v>3487</v>
      </c>
      <c r="E90" t="s" s="126">
        <v>3487</v>
      </c>
      <c r="F90" s="36"/>
      <c r="G90" t="s" s="90">
        <v>3489</v>
      </c>
      <c r="H90" s="30"/>
      <c r="I90" s="6"/>
      <c r="J90" s="7"/>
    </row>
    <row r="91" ht="22" customHeight="1">
      <c r="A91" t="s" s="128">
        <v>3032</v>
      </c>
      <c r="B91" t="s" s="126">
        <v>3487</v>
      </c>
      <c r="C91" t="s" s="126">
        <v>3487</v>
      </c>
      <c r="D91" t="s" s="126">
        <v>3487</v>
      </c>
      <c r="E91" t="s" s="126">
        <v>3487</v>
      </c>
      <c r="F91" s="36"/>
      <c r="G91" t="s" s="90">
        <v>3489</v>
      </c>
      <c r="H91" s="30"/>
      <c r="I91" s="6"/>
      <c r="J91" s="7"/>
    </row>
    <row r="92" ht="22" customHeight="1">
      <c r="A92" t="s" s="128">
        <v>3564</v>
      </c>
      <c r="B92" t="s" s="126">
        <v>3487</v>
      </c>
      <c r="C92" t="s" s="126">
        <v>3487</v>
      </c>
      <c r="D92" t="s" s="126">
        <v>3487</v>
      </c>
      <c r="E92" t="s" s="126">
        <v>3487</v>
      </c>
      <c r="F92" s="36"/>
      <c r="G92" t="s" s="90">
        <v>3489</v>
      </c>
      <c r="H92" s="30"/>
      <c r="I92" s="6"/>
      <c r="J92" s="7"/>
    </row>
    <row r="93" ht="22" customHeight="1">
      <c r="A93" t="s" s="128">
        <v>3406</v>
      </c>
      <c r="B93" t="s" s="126">
        <v>3487</v>
      </c>
      <c r="C93" t="s" s="126">
        <v>3487</v>
      </c>
      <c r="D93" t="s" s="126">
        <v>3487</v>
      </c>
      <c r="E93" t="s" s="126">
        <v>3487</v>
      </c>
      <c r="F93" s="36"/>
      <c r="G93" t="s" s="90">
        <v>3489</v>
      </c>
      <c r="H93" s="30"/>
      <c r="I93" s="6"/>
      <c r="J93" s="7"/>
    </row>
    <row r="94" ht="22" customHeight="1">
      <c r="A94" t="s" s="128">
        <v>3565</v>
      </c>
      <c r="B94" t="s" s="126">
        <v>3487</v>
      </c>
      <c r="C94" t="s" s="126">
        <v>3487</v>
      </c>
      <c r="D94" t="s" s="126">
        <v>3487</v>
      </c>
      <c r="E94" t="s" s="126">
        <v>3487</v>
      </c>
      <c r="F94" s="36"/>
      <c r="G94" t="s" s="90">
        <v>3489</v>
      </c>
      <c r="H94" s="30"/>
      <c r="I94" s="6"/>
      <c r="J94" s="7"/>
    </row>
    <row r="95" ht="22" customHeight="1">
      <c r="A95" t="s" s="128">
        <v>3566</v>
      </c>
      <c r="B95" t="s" s="126">
        <v>3487</v>
      </c>
      <c r="C95" t="s" s="126">
        <v>3487</v>
      </c>
      <c r="D95" t="s" s="126">
        <v>3487</v>
      </c>
      <c r="E95" t="s" s="126">
        <v>3487</v>
      </c>
      <c r="F95" s="36"/>
      <c r="G95" t="s" s="90">
        <v>3489</v>
      </c>
      <c r="H95" s="30"/>
      <c r="I95" s="6"/>
      <c r="J95" s="7"/>
    </row>
    <row r="96" ht="22" customHeight="1">
      <c r="A96" t="s" s="128">
        <v>3567</v>
      </c>
      <c r="B96" t="s" s="126">
        <v>3487</v>
      </c>
      <c r="C96" t="s" s="126">
        <v>3487</v>
      </c>
      <c r="D96" t="s" s="126">
        <v>3487</v>
      </c>
      <c r="E96" t="s" s="126">
        <v>3487</v>
      </c>
      <c r="F96" s="36"/>
      <c r="G96" t="s" s="90">
        <v>3489</v>
      </c>
      <c r="H96" s="30"/>
      <c r="I96" s="6"/>
      <c r="J96" s="7"/>
    </row>
    <row r="97" ht="22" customHeight="1">
      <c r="A97" t="s" s="128">
        <v>3568</v>
      </c>
      <c r="B97" t="s" s="126">
        <v>3487</v>
      </c>
      <c r="C97" t="s" s="126">
        <v>3487</v>
      </c>
      <c r="D97" t="s" s="126">
        <v>3487</v>
      </c>
      <c r="E97" t="s" s="126">
        <v>3487</v>
      </c>
      <c r="F97" s="36"/>
      <c r="G97" t="s" s="90">
        <v>3489</v>
      </c>
      <c r="H97" s="30"/>
      <c r="I97" s="6"/>
      <c r="J97" s="7"/>
    </row>
    <row r="98" ht="22" customHeight="1">
      <c r="A98" t="s" s="128">
        <v>3569</v>
      </c>
      <c r="B98" t="s" s="126">
        <v>3487</v>
      </c>
      <c r="C98" t="s" s="126">
        <v>3487</v>
      </c>
      <c r="D98" t="s" s="126">
        <v>3487</v>
      </c>
      <c r="E98" t="s" s="126">
        <v>3487</v>
      </c>
      <c r="F98" s="36"/>
      <c r="G98" t="s" s="90">
        <v>3489</v>
      </c>
      <c r="H98" s="30"/>
      <c r="I98" s="6"/>
      <c r="J98" s="7"/>
    </row>
    <row r="99" ht="22" customHeight="1">
      <c r="A99" t="s" s="128">
        <v>3570</v>
      </c>
      <c r="B99" t="s" s="126">
        <v>3487</v>
      </c>
      <c r="C99" t="s" s="126">
        <v>3487</v>
      </c>
      <c r="D99" t="s" s="126">
        <v>3487</v>
      </c>
      <c r="E99" t="s" s="126">
        <v>3487</v>
      </c>
      <c r="F99" s="36"/>
      <c r="G99" t="s" s="90">
        <v>3489</v>
      </c>
      <c r="H99" s="30"/>
      <c r="I99" s="6"/>
      <c r="J99" s="7"/>
    </row>
    <row r="100" ht="22" customHeight="1">
      <c r="A100" t="s" s="128">
        <v>3571</v>
      </c>
      <c r="B100" t="s" s="126">
        <v>3487</v>
      </c>
      <c r="C100" t="s" s="126">
        <v>3487</v>
      </c>
      <c r="D100" t="s" s="126">
        <v>3487</v>
      </c>
      <c r="E100" t="s" s="126">
        <v>3487</v>
      </c>
      <c r="F100" s="36"/>
      <c r="G100" t="s" s="90">
        <v>3489</v>
      </c>
      <c r="H100" s="30"/>
      <c r="I100" s="6"/>
      <c r="J100" s="7"/>
    </row>
    <row r="101" ht="22" customHeight="1">
      <c r="A101" t="s" s="128">
        <v>3572</v>
      </c>
      <c r="B101" t="s" s="126">
        <v>3487</v>
      </c>
      <c r="C101" t="s" s="126">
        <v>3487</v>
      </c>
      <c r="D101" t="s" s="126">
        <v>3487</v>
      </c>
      <c r="E101" t="s" s="126">
        <v>3487</v>
      </c>
      <c r="F101" s="36"/>
      <c r="G101" t="s" s="90">
        <v>3489</v>
      </c>
      <c r="H101" s="30"/>
      <c r="I101" s="6"/>
      <c r="J101" s="7"/>
    </row>
    <row r="102" ht="22" customHeight="1">
      <c r="A102" t="s" s="128">
        <v>3135</v>
      </c>
      <c r="B102" t="s" s="126">
        <v>3487</v>
      </c>
      <c r="C102" t="s" s="126">
        <v>3487</v>
      </c>
      <c r="D102" t="s" s="126">
        <v>3487</v>
      </c>
      <c r="E102" t="s" s="126">
        <v>3487</v>
      </c>
      <c r="F102" s="36"/>
      <c r="G102" t="s" s="90">
        <v>3489</v>
      </c>
      <c r="H102" s="30"/>
      <c r="I102" s="6"/>
      <c r="J102" s="7"/>
    </row>
    <row r="103" ht="22" customHeight="1">
      <c r="A103" t="s" s="128">
        <v>3573</v>
      </c>
      <c r="B103" t="s" s="126">
        <v>3487</v>
      </c>
      <c r="C103" t="s" s="126">
        <v>3487</v>
      </c>
      <c r="D103" t="s" s="126">
        <v>3487</v>
      </c>
      <c r="E103" t="s" s="126">
        <v>3487</v>
      </c>
      <c r="F103" s="36"/>
      <c r="G103" t="s" s="90">
        <v>3489</v>
      </c>
      <c r="H103" s="30"/>
      <c r="I103" s="6"/>
      <c r="J103" s="7"/>
    </row>
    <row r="104" ht="22" customHeight="1">
      <c r="A104" t="s" s="128">
        <v>3574</v>
      </c>
      <c r="B104" t="s" s="126">
        <v>3487</v>
      </c>
      <c r="C104" t="s" s="126">
        <v>3487</v>
      </c>
      <c r="D104" t="s" s="126">
        <v>3487</v>
      </c>
      <c r="E104" t="s" s="126">
        <v>3487</v>
      </c>
      <c r="F104" s="36"/>
      <c r="G104" t="s" s="90">
        <v>3489</v>
      </c>
      <c r="H104" s="30"/>
      <c r="I104" s="6"/>
      <c r="J104" s="7"/>
    </row>
    <row r="105" ht="22" customHeight="1">
      <c r="A105" t="s" s="128">
        <v>3575</v>
      </c>
      <c r="B105" t="s" s="126">
        <v>3487</v>
      </c>
      <c r="C105" t="s" s="126">
        <v>3487</v>
      </c>
      <c r="D105" t="s" s="126">
        <v>3487</v>
      </c>
      <c r="E105" t="s" s="126">
        <v>3487</v>
      </c>
      <c r="F105" s="36"/>
      <c r="G105" t="s" s="90">
        <v>3489</v>
      </c>
      <c r="H105" s="30"/>
      <c r="I105" s="6"/>
      <c r="J105" s="7"/>
    </row>
    <row r="106" ht="22" customHeight="1">
      <c r="A106" t="s" s="128">
        <v>3576</v>
      </c>
      <c r="B106" t="s" s="126">
        <v>3487</v>
      </c>
      <c r="C106" t="s" s="126">
        <v>3487</v>
      </c>
      <c r="D106" t="s" s="126">
        <v>3487</v>
      </c>
      <c r="E106" t="s" s="126">
        <v>3487</v>
      </c>
      <c r="F106" s="36"/>
      <c r="G106" t="s" s="90">
        <v>3489</v>
      </c>
      <c r="H106" s="30"/>
      <c r="I106" s="6"/>
      <c r="J106" s="7"/>
    </row>
    <row r="107" ht="22" customHeight="1">
      <c r="A107" t="s" s="128">
        <v>3577</v>
      </c>
      <c r="B107" t="s" s="126">
        <v>3487</v>
      </c>
      <c r="C107" t="s" s="126">
        <v>3487</v>
      </c>
      <c r="D107" t="s" s="126">
        <v>3487</v>
      </c>
      <c r="E107" t="s" s="126">
        <v>3487</v>
      </c>
      <c r="F107" s="36"/>
      <c r="G107" t="s" s="90">
        <v>3489</v>
      </c>
      <c r="H107" s="30"/>
      <c r="I107" s="6"/>
      <c r="J107" s="7"/>
    </row>
    <row r="108" ht="22" customHeight="1">
      <c r="A108" t="s" s="128">
        <v>3578</v>
      </c>
      <c r="B108" t="s" s="126">
        <v>3487</v>
      </c>
      <c r="C108" t="s" s="126">
        <v>3487</v>
      </c>
      <c r="D108" t="s" s="126">
        <v>3487</v>
      </c>
      <c r="E108" t="s" s="126">
        <v>3487</v>
      </c>
      <c r="F108" s="36"/>
      <c r="G108" t="s" s="90">
        <v>3489</v>
      </c>
      <c r="H108" s="30"/>
      <c r="I108" s="6"/>
      <c r="J108" s="7"/>
    </row>
    <row r="109" ht="22" customHeight="1">
      <c r="A109" t="s" s="128">
        <v>3579</v>
      </c>
      <c r="B109" t="s" s="126">
        <v>3487</v>
      </c>
      <c r="C109" t="s" s="126">
        <v>3487</v>
      </c>
      <c r="D109" t="s" s="126">
        <v>3487</v>
      </c>
      <c r="E109" t="s" s="126">
        <v>3487</v>
      </c>
      <c r="F109" s="36"/>
      <c r="G109" t="s" s="90">
        <v>3489</v>
      </c>
      <c r="H109" s="30"/>
      <c r="I109" s="6"/>
      <c r="J109" s="7"/>
    </row>
    <row r="110" ht="22" customHeight="1">
      <c r="A110" t="s" s="128">
        <v>3580</v>
      </c>
      <c r="B110" t="s" s="126">
        <v>3487</v>
      </c>
      <c r="C110" t="s" s="126">
        <v>3487</v>
      </c>
      <c r="D110" t="s" s="126">
        <v>3487</v>
      </c>
      <c r="E110" t="s" s="126">
        <v>3487</v>
      </c>
      <c r="F110" s="36"/>
      <c r="G110" t="s" s="90">
        <v>3489</v>
      </c>
      <c r="H110" s="30"/>
      <c r="I110" s="6"/>
      <c r="J110" s="7"/>
    </row>
    <row r="111" ht="22" customHeight="1">
      <c r="A111" t="s" s="128">
        <v>3581</v>
      </c>
      <c r="B111" t="s" s="126">
        <v>3487</v>
      </c>
      <c r="C111" t="s" s="126">
        <v>3487</v>
      </c>
      <c r="D111" t="s" s="126">
        <v>3487</v>
      </c>
      <c r="E111" t="s" s="126">
        <v>3487</v>
      </c>
      <c r="F111" s="36"/>
      <c r="G111" t="s" s="90">
        <v>3489</v>
      </c>
      <c r="H111" s="30"/>
      <c r="I111" s="6"/>
      <c r="J111" s="7"/>
    </row>
    <row r="112" ht="22" customHeight="1">
      <c r="A112" t="s" s="128">
        <v>3582</v>
      </c>
      <c r="B112" t="s" s="126">
        <v>3487</v>
      </c>
      <c r="C112" t="s" s="126">
        <v>3487</v>
      </c>
      <c r="D112" t="s" s="126">
        <v>3487</v>
      </c>
      <c r="E112" t="s" s="126">
        <v>3487</v>
      </c>
      <c r="F112" s="36"/>
      <c r="G112" t="s" s="90">
        <v>3489</v>
      </c>
      <c r="H112" s="30"/>
      <c r="I112" s="6"/>
      <c r="J112" s="7"/>
    </row>
    <row r="113" ht="22" customHeight="1">
      <c r="A113" t="s" s="128">
        <v>3384</v>
      </c>
      <c r="B113" t="s" s="126">
        <v>3487</v>
      </c>
      <c r="C113" t="s" s="126">
        <v>3487</v>
      </c>
      <c r="D113" t="s" s="126">
        <v>3487</v>
      </c>
      <c r="E113" t="s" s="126">
        <v>3487</v>
      </c>
      <c r="F113" s="36"/>
      <c r="G113" t="s" s="90">
        <v>3489</v>
      </c>
      <c r="H113" s="30"/>
      <c r="I113" s="6"/>
      <c r="J113" s="7"/>
    </row>
    <row r="114" ht="22" customHeight="1">
      <c r="A114" t="s" s="128">
        <v>3467</v>
      </c>
      <c r="B114" t="s" s="126">
        <v>3487</v>
      </c>
      <c r="C114" t="s" s="126">
        <v>3487</v>
      </c>
      <c r="D114" t="s" s="126">
        <v>3487</v>
      </c>
      <c r="E114" t="s" s="126">
        <v>3487</v>
      </c>
      <c r="F114" s="36"/>
      <c r="G114" t="s" s="90">
        <v>3489</v>
      </c>
      <c r="H114" s="30"/>
      <c r="I114" s="6"/>
      <c r="J114" s="7"/>
    </row>
    <row r="115" ht="22" customHeight="1">
      <c r="A115" t="s" s="128">
        <v>3583</v>
      </c>
      <c r="B115" t="s" s="126">
        <v>3487</v>
      </c>
      <c r="C115" t="s" s="126">
        <v>3487</v>
      </c>
      <c r="D115" t="s" s="126">
        <v>3487</v>
      </c>
      <c r="E115" t="s" s="126">
        <v>3487</v>
      </c>
      <c r="F115" s="36"/>
      <c r="G115" t="s" s="90">
        <v>3489</v>
      </c>
      <c r="H115" s="30"/>
      <c r="I115" s="6"/>
      <c r="J115" s="7"/>
    </row>
    <row r="116" ht="22" customHeight="1">
      <c r="A116" t="s" s="128">
        <v>3584</v>
      </c>
      <c r="B116" t="s" s="126">
        <v>3487</v>
      </c>
      <c r="C116" t="s" s="126">
        <v>3487</v>
      </c>
      <c r="D116" t="s" s="126">
        <v>3487</v>
      </c>
      <c r="E116" t="s" s="126">
        <v>3487</v>
      </c>
      <c r="F116" s="36"/>
      <c r="G116" t="s" s="90">
        <v>3489</v>
      </c>
      <c r="H116" s="30"/>
      <c r="I116" s="6"/>
      <c r="J116" s="7"/>
    </row>
    <row r="117" ht="22" customHeight="1">
      <c r="A117" t="s" s="128">
        <v>3458</v>
      </c>
      <c r="B117" t="s" s="126">
        <v>3487</v>
      </c>
      <c r="C117" t="s" s="126">
        <v>3487</v>
      </c>
      <c r="D117" t="s" s="126">
        <v>3487</v>
      </c>
      <c r="E117" t="s" s="126">
        <v>3487</v>
      </c>
      <c r="F117" s="36"/>
      <c r="G117" t="s" s="90">
        <v>3489</v>
      </c>
      <c r="H117" s="30"/>
      <c r="I117" s="6"/>
      <c r="J117" s="7"/>
    </row>
    <row r="118" ht="22" customHeight="1">
      <c r="A118" t="s" s="128">
        <v>3585</v>
      </c>
      <c r="B118" t="s" s="126">
        <v>3487</v>
      </c>
      <c r="C118" t="s" s="126">
        <v>3487</v>
      </c>
      <c r="D118" t="s" s="126">
        <v>3487</v>
      </c>
      <c r="E118" t="s" s="126">
        <v>3487</v>
      </c>
      <c r="F118" s="36"/>
      <c r="G118" t="s" s="90">
        <v>3489</v>
      </c>
      <c r="H118" s="30"/>
      <c r="I118" s="6"/>
      <c r="J118" s="7"/>
    </row>
    <row r="119" ht="22" customHeight="1">
      <c r="A119" t="s" s="128">
        <v>3586</v>
      </c>
      <c r="B119" t="s" s="126">
        <v>3487</v>
      </c>
      <c r="C119" t="s" s="126">
        <v>3487</v>
      </c>
      <c r="D119" t="s" s="126">
        <v>3487</v>
      </c>
      <c r="E119" t="s" s="126">
        <v>3487</v>
      </c>
      <c r="F119" s="36"/>
      <c r="G119" t="s" s="90">
        <v>3489</v>
      </c>
      <c r="H119" s="30"/>
      <c r="I119" s="6"/>
      <c r="J119" s="7"/>
    </row>
    <row r="120" ht="22" customHeight="1">
      <c r="A120" t="s" s="128">
        <v>3587</v>
      </c>
      <c r="B120" t="s" s="126">
        <v>3487</v>
      </c>
      <c r="C120" t="s" s="126">
        <v>3487</v>
      </c>
      <c r="D120" t="s" s="126">
        <v>3487</v>
      </c>
      <c r="E120" t="s" s="126">
        <v>3487</v>
      </c>
      <c r="F120" s="36"/>
      <c r="G120" t="s" s="90">
        <v>3489</v>
      </c>
      <c r="H120" s="30"/>
      <c r="I120" s="6"/>
      <c r="J120" s="7"/>
    </row>
    <row r="121" ht="22" customHeight="1">
      <c r="A121" t="s" s="128">
        <v>3383</v>
      </c>
      <c r="B121" t="s" s="126">
        <v>3487</v>
      </c>
      <c r="C121" t="s" s="126">
        <v>3487</v>
      </c>
      <c r="D121" t="s" s="126">
        <v>3487</v>
      </c>
      <c r="E121" t="s" s="126">
        <v>3487</v>
      </c>
      <c r="F121" s="36"/>
      <c r="G121" t="s" s="90">
        <v>3489</v>
      </c>
      <c r="H121" s="30"/>
      <c r="I121" s="6"/>
      <c r="J121" s="7"/>
    </row>
    <row r="122" ht="22" customHeight="1">
      <c r="A122" t="s" s="128">
        <v>2983</v>
      </c>
      <c r="B122" t="s" s="126">
        <v>3487</v>
      </c>
      <c r="C122" t="s" s="126">
        <v>3487</v>
      </c>
      <c r="D122" t="s" s="126">
        <v>3487</v>
      </c>
      <c r="E122" t="s" s="126">
        <v>3487</v>
      </c>
      <c r="F122" s="36"/>
      <c r="G122" t="s" s="90">
        <v>3489</v>
      </c>
      <c r="H122" s="30"/>
      <c r="I122" s="6"/>
      <c r="J122" s="7"/>
    </row>
    <row r="123" ht="22" customHeight="1">
      <c r="A123" t="s" s="128">
        <v>3588</v>
      </c>
      <c r="B123" t="s" s="126">
        <v>3487</v>
      </c>
      <c r="C123" t="s" s="126">
        <v>3487</v>
      </c>
      <c r="D123" t="s" s="126">
        <v>3487</v>
      </c>
      <c r="E123" t="s" s="126">
        <v>3487</v>
      </c>
      <c r="F123" s="36"/>
      <c r="G123" t="s" s="90">
        <v>3489</v>
      </c>
      <c r="H123" s="30"/>
      <c r="I123" s="6"/>
      <c r="J123" s="7"/>
    </row>
    <row r="124" ht="22" customHeight="1">
      <c r="A124" t="s" s="128">
        <v>3589</v>
      </c>
      <c r="B124" t="s" s="126">
        <v>3487</v>
      </c>
      <c r="C124" t="s" s="126">
        <v>3487</v>
      </c>
      <c r="D124" t="s" s="126">
        <v>3487</v>
      </c>
      <c r="E124" t="s" s="126">
        <v>3487</v>
      </c>
      <c r="F124" s="36"/>
      <c r="G124" t="s" s="90">
        <v>3489</v>
      </c>
      <c r="H124" s="30"/>
      <c r="I124" s="6"/>
      <c r="J124" s="7"/>
    </row>
    <row r="125" ht="22" customHeight="1">
      <c r="A125" t="s" s="128">
        <v>3590</v>
      </c>
      <c r="B125" t="s" s="126">
        <v>3487</v>
      </c>
      <c r="C125" t="s" s="126">
        <v>3487</v>
      </c>
      <c r="D125" t="s" s="126">
        <v>3487</v>
      </c>
      <c r="E125" t="s" s="126">
        <v>3487</v>
      </c>
      <c r="F125" s="36"/>
      <c r="G125" t="s" s="90">
        <v>3489</v>
      </c>
      <c r="H125" s="30"/>
      <c r="I125" s="6"/>
      <c r="J125" s="7"/>
    </row>
    <row r="126" ht="22" customHeight="1">
      <c r="A126" t="s" s="128">
        <v>3591</v>
      </c>
      <c r="B126" t="s" s="126">
        <v>3487</v>
      </c>
      <c r="C126" t="s" s="126">
        <v>3487</v>
      </c>
      <c r="D126" t="s" s="126">
        <v>3487</v>
      </c>
      <c r="E126" t="s" s="126">
        <v>3487</v>
      </c>
      <c r="F126" s="36"/>
      <c r="G126" t="s" s="90">
        <v>3489</v>
      </c>
      <c r="H126" s="30"/>
      <c r="I126" s="6"/>
      <c r="J126" s="7"/>
    </row>
    <row r="127" ht="22" customHeight="1">
      <c r="A127" t="s" s="128">
        <v>3054</v>
      </c>
      <c r="B127" t="s" s="126">
        <v>3487</v>
      </c>
      <c r="C127" t="s" s="126">
        <v>3487</v>
      </c>
      <c r="D127" t="s" s="126">
        <v>3487</v>
      </c>
      <c r="E127" t="s" s="126">
        <v>3487</v>
      </c>
      <c r="F127" s="36"/>
      <c r="G127" t="s" s="90">
        <v>3489</v>
      </c>
      <c r="H127" s="30"/>
      <c r="I127" s="6"/>
      <c r="J127" s="7"/>
    </row>
    <row r="128" ht="22" customHeight="1">
      <c r="A128" t="s" s="128">
        <v>3592</v>
      </c>
      <c r="B128" t="s" s="126">
        <v>3487</v>
      </c>
      <c r="C128" t="s" s="126">
        <v>3487</v>
      </c>
      <c r="D128" t="s" s="126">
        <v>3487</v>
      </c>
      <c r="E128" t="s" s="126">
        <v>3487</v>
      </c>
      <c r="F128" s="36"/>
      <c r="G128" t="s" s="90">
        <v>3489</v>
      </c>
      <c r="H128" s="30"/>
      <c r="I128" s="6"/>
      <c r="J128" s="7"/>
    </row>
    <row r="129" ht="22" customHeight="1">
      <c r="A129" t="s" s="128">
        <v>3288</v>
      </c>
      <c r="B129" t="s" s="126">
        <v>3487</v>
      </c>
      <c r="C129" t="s" s="126">
        <v>3487</v>
      </c>
      <c r="D129" t="s" s="126">
        <v>3487</v>
      </c>
      <c r="E129" t="s" s="126">
        <v>3487</v>
      </c>
      <c r="F129" s="36"/>
      <c r="G129" t="s" s="90">
        <v>3489</v>
      </c>
      <c r="H129" s="30"/>
      <c r="I129" s="6"/>
      <c r="J129" s="7"/>
    </row>
    <row r="130" ht="22" customHeight="1">
      <c r="A130" t="s" s="128">
        <v>3593</v>
      </c>
      <c r="B130" t="s" s="126">
        <v>3487</v>
      </c>
      <c r="C130" t="s" s="126">
        <v>3487</v>
      </c>
      <c r="D130" t="s" s="126">
        <v>3487</v>
      </c>
      <c r="E130" t="s" s="126">
        <v>3487</v>
      </c>
      <c r="F130" s="36"/>
      <c r="G130" t="s" s="90">
        <v>3489</v>
      </c>
      <c r="H130" s="30"/>
      <c r="I130" s="6"/>
      <c r="J130" s="7"/>
    </row>
    <row r="131" ht="22" customHeight="1">
      <c r="A131" t="s" s="128">
        <v>3594</v>
      </c>
      <c r="B131" t="s" s="126">
        <v>3487</v>
      </c>
      <c r="C131" t="s" s="126">
        <v>3487</v>
      </c>
      <c r="D131" t="s" s="126">
        <v>3487</v>
      </c>
      <c r="E131" t="s" s="126">
        <v>3487</v>
      </c>
      <c r="F131" s="36"/>
      <c r="G131" t="s" s="90">
        <v>3489</v>
      </c>
      <c r="H131" s="30"/>
      <c r="I131" s="6"/>
      <c r="J131" s="7"/>
    </row>
    <row r="132" ht="22" customHeight="1">
      <c r="A132" t="s" s="128">
        <v>3228</v>
      </c>
      <c r="B132" t="s" s="126">
        <v>3487</v>
      </c>
      <c r="C132" t="s" s="126">
        <v>3487</v>
      </c>
      <c r="D132" t="s" s="126">
        <v>3487</v>
      </c>
      <c r="E132" t="s" s="126">
        <v>3487</v>
      </c>
      <c r="F132" s="36"/>
      <c r="G132" t="s" s="90">
        <v>3489</v>
      </c>
      <c r="H132" s="30"/>
      <c r="I132" s="6"/>
      <c r="J132" s="7"/>
    </row>
    <row r="133" ht="22" customHeight="1">
      <c r="A133" t="s" s="128">
        <v>3595</v>
      </c>
      <c r="B133" t="s" s="126">
        <v>3487</v>
      </c>
      <c r="C133" t="s" s="126">
        <v>3487</v>
      </c>
      <c r="D133" t="s" s="126">
        <v>3487</v>
      </c>
      <c r="E133" t="s" s="126">
        <v>3487</v>
      </c>
      <c r="F133" s="36"/>
      <c r="G133" t="s" s="90">
        <v>3489</v>
      </c>
      <c r="H133" s="30"/>
      <c r="I133" s="6"/>
      <c r="J133" s="7"/>
    </row>
    <row r="134" ht="22" customHeight="1">
      <c r="A134" t="s" s="128">
        <v>3230</v>
      </c>
      <c r="B134" t="s" s="126">
        <v>3487</v>
      </c>
      <c r="C134" t="s" s="126">
        <v>3487</v>
      </c>
      <c r="D134" t="s" s="126">
        <v>3487</v>
      </c>
      <c r="E134" t="s" s="126">
        <v>3487</v>
      </c>
      <c r="F134" s="36"/>
      <c r="G134" t="s" s="90">
        <v>3489</v>
      </c>
      <c r="H134" s="30"/>
      <c r="I134" s="6"/>
      <c r="J134" s="7"/>
    </row>
    <row r="135" ht="22" customHeight="1">
      <c r="A135" t="s" s="128">
        <v>3596</v>
      </c>
      <c r="B135" t="s" s="126">
        <v>3487</v>
      </c>
      <c r="C135" t="s" s="126">
        <v>3487</v>
      </c>
      <c r="D135" t="s" s="126">
        <v>3487</v>
      </c>
      <c r="E135" t="s" s="126">
        <v>3487</v>
      </c>
      <c r="F135" s="36"/>
      <c r="G135" t="s" s="90">
        <v>3489</v>
      </c>
      <c r="H135" s="30"/>
      <c r="I135" s="6"/>
      <c r="J135" s="7"/>
    </row>
    <row r="136" ht="22" customHeight="1">
      <c r="A136" t="s" s="128">
        <v>2967</v>
      </c>
      <c r="B136" t="s" s="126">
        <v>3487</v>
      </c>
      <c r="C136" t="s" s="126">
        <v>3487</v>
      </c>
      <c r="D136" t="s" s="126">
        <v>3487</v>
      </c>
      <c r="E136" t="s" s="126">
        <v>3487</v>
      </c>
      <c r="F136" s="36"/>
      <c r="G136" t="s" s="90">
        <v>3489</v>
      </c>
      <c r="H136" s="30"/>
      <c r="I136" s="6"/>
      <c r="J136" s="7"/>
    </row>
    <row r="137" ht="22" customHeight="1">
      <c r="A137" t="s" s="128">
        <v>3597</v>
      </c>
      <c r="B137" t="s" s="126">
        <v>3487</v>
      </c>
      <c r="C137" t="s" s="126">
        <v>3487</v>
      </c>
      <c r="D137" t="s" s="126">
        <v>3487</v>
      </c>
      <c r="E137" t="s" s="126">
        <v>3487</v>
      </c>
      <c r="F137" s="36"/>
      <c r="G137" t="s" s="90">
        <v>3489</v>
      </c>
      <c r="H137" s="30"/>
      <c r="I137" s="6"/>
      <c r="J137" s="7"/>
    </row>
    <row r="138" ht="22" customHeight="1">
      <c r="A138" t="s" s="128">
        <v>3598</v>
      </c>
      <c r="B138" t="s" s="126">
        <v>3487</v>
      </c>
      <c r="C138" t="s" s="126">
        <v>3487</v>
      </c>
      <c r="D138" t="s" s="126">
        <v>3487</v>
      </c>
      <c r="E138" t="s" s="126">
        <v>3487</v>
      </c>
      <c r="F138" s="36"/>
      <c r="G138" t="s" s="90">
        <v>3489</v>
      </c>
      <c r="H138" s="30"/>
      <c r="I138" s="6"/>
      <c r="J138" s="7"/>
    </row>
    <row r="139" ht="22" customHeight="1">
      <c r="A139" t="s" s="128">
        <v>3599</v>
      </c>
      <c r="B139" t="s" s="126">
        <v>3487</v>
      </c>
      <c r="C139" t="s" s="126">
        <v>3487</v>
      </c>
      <c r="D139" t="s" s="126">
        <v>3487</v>
      </c>
      <c r="E139" t="s" s="126">
        <v>3487</v>
      </c>
      <c r="F139" s="36"/>
      <c r="G139" t="s" s="90">
        <v>3489</v>
      </c>
      <c r="H139" s="30"/>
      <c r="I139" s="6"/>
      <c r="J139" s="7"/>
    </row>
    <row r="140" ht="22" customHeight="1">
      <c r="A140" t="s" s="128">
        <v>3600</v>
      </c>
      <c r="B140" t="s" s="126">
        <v>3487</v>
      </c>
      <c r="C140" t="s" s="126">
        <v>3487</v>
      </c>
      <c r="D140" t="s" s="126">
        <v>3487</v>
      </c>
      <c r="E140" t="s" s="126">
        <v>3487</v>
      </c>
      <c r="F140" s="36"/>
      <c r="G140" t="s" s="90">
        <v>3489</v>
      </c>
      <c r="H140" s="30"/>
      <c r="I140" s="6"/>
      <c r="J140" s="7"/>
    </row>
    <row r="141" ht="22" customHeight="1">
      <c r="A141" t="s" s="128">
        <v>3235</v>
      </c>
      <c r="B141" t="s" s="126">
        <v>3487</v>
      </c>
      <c r="C141" t="s" s="126">
        <v>3487</v>
      </c>
      <c r="D141" t="s" s="126">
        <v>3487</v>
      </c>
      <c r="E141" t="s" s="126">
        <v>3487</v>
      </c>
      <c r="F141" s="36"/>
      <c r="G141" t="s" s="90">
        <v>3489</v>
      </c>
      <c r="H141" s="30"/>
      <c r="I141" s="6"/>
      <c r="J141" s="7"/>
    </row>
    <row r="142" ht="22" customHeight="1">
      <c r="A142" t="s" s="128">
        <v>3601</v>
      </c>
      <c r="B142" t="s" s="126">
        <v>3487</v>
      </c>
      <c r="C142" t="s" s="126">
        <v>3487</v>
      </c>
      <c r="D142" t="s" s="126">
        <v>3487</v>
      </c>
      <c r="E142" t="s" s="126">
        <v>3487</v>
      </c>
      <c r="F142" s="36"/>
      <c r="G142" t="s" s="90">
        <v>3489</v>
      </c>
      <c r="H142" s="30"/>
      <c r="I142" s="6"/>
      <c r="J142" s="7"/>
    </row>
    <row r="143" ht="22" customHeight="1">
      <c r="A143" t="s" s="128">
        <v>3602</v>
      </c>
      <c r="B143" t="s" s="126">
        <v>3487</v>
      </c>
      <c r="C143" t="s" s="126">
        <v>3487</v>
      </c>
      <c r="D143" t="s" s="126">
        <v>3487</v>
      </c>
      <c r="E143" t="s" s="126">
        <v>3487</v>
      </c>
      <c r="F143" s="36"/>
      <c r="G143" t="s" s="90">
        <v>3489</v>
      </c>
      <c r="H143" s="30"/>
      <c r="I143" s="6"/>
      <c r="J143" s="7"/>
    </row>
    <row r="144" ht="22" customHeight="1">
      <c r="A144" t="s" s="128">
        <v>2990</v>
      </c>
      <c r="B144" t="s" s="126">
        <v>3487</v>
      </c>
      <c r="C144" t="s" s="126">
        <v>3487</v>
      </c>
      <c r="D144" t="s" s="126">
        <v>3487</v>
      </c>
      <c r="E144" t="s" s="126">
        <v>3487</v>
      </c>
      <c r="F144" s="36"/>
      <c r="G144" t="s" s="90">
        <v>3489</v>
      </c>
      <c r="H144" s="30"/>
      <c r="I144" s="6"/>
      <c r="J144" s="7"/>
    </row>
    <row r="145" ht="22" customHeight="1">
      <c r="A145" t="s" s="128">
        <v>3092</v>
      </c>
      <c r="B145" t="s" s="126">
        <v>3487</v>
      </c>
      <c r="C145" t="s" s="126">
        <v>3487</v>
      </c>
      <c r="D145" t="s" s="126">
        <v>3487</v>
      </c>
      <c r="E145" t="s" s="126">
        <v>3487</v>
      </c>
      <c r="F145" s="36"/>
      <c r="G145" t="s" s="90">
        <v>3489</v>
      </c>
      <c r="H145" s="30"/>
      <c r="I145" s="6"/>
      <c r="J145" s="7"/>
    </row>
    <row r="146" ht="22" customHeight="1">
      <c r="A146" t="s" s="128">
        <v>3603</v>
      </c>
      <c r="B146" t="s" s="126">
        <v>3487</v>
      </c>
      <c r="C146" t="s" s="126">
        <v>3487</v>
      </c>
      <c r="D146" t="s" s="126">
        <v>3487</v>
      </c>
      <c r="E146" t="s" s="126">
        <v>3487</v>
      </c>
      <c r="F146" s="36"/>
      <c r="G146" t="s" s="90">
        <v>3489</v>
      </c>
      <c r="H146" s="30"/>
      <c r="I146" s="6"/>
      <c r="J146" s="7"/>
    </row>
    <row r="147" ht="22" customHeight="1">
      <c r="A147" t="s" s="128">
        <v>3604</v>
      </c>
      <c r="B147" t="s" s="126">
        <v>3487</v>
      </c>
      <c r="C147" t="s" s="126">
        <v>3487</v>
      </c>
      <c r="D147" t="s" s="126">
        <v>3487</v>
      </c>
      <c r="E147" t="s" s="126">
        <v>3487</v>
      </c>
      <c r="F147" s="36"/>
      <c r="G147" t="s" s="90">
        <v>3489</v>
      </c>
      <c r="H147" s="30"/>
      <c r="I147" s="6"/>
      <c r="J147" s="7"/>
    </row>
    <row r="148" ht="22" customHeight="1">
      <c r="A148" t="s" s="128">
        <v>3605</v>
      </c>
      <c r="B148" t="s" s="126">
        <v>3487</v>
      </c>
      <c r="C148" t="s" s="126">
        <v>3487</v>
      </c>
      <c r="D148" t="s" s="126">
        <v>3487</v>
      </c>
      <c r="E148" t="s" s="126">
        <v>3487</v>
      </c>
      <c r="F148" s="36"/>
      <c r="G148" t="s" s="90">
        <v>3489</v>
      </c>
      <c r="H148" s="30"/>
      <c r="I148" s="6"/>
      <c r="J148" s="7"/>
    </row>
    <row r="149" ht="22" customHeight="1">
      <c r="A149" t="s" s="128">
        <v>3606</v>
      </c>
      <c r="B149" t="s" s="126">
        <v>3487</v>
      </c>
      <c r="C149" t="s" s="126">
        <v>3487</v>
      </c>
      <c r="D149" t="s" s="126">
        <v>3487</v>
      </c>
      <c r="E149" t="s" s="126">
        <v>3487</v>
      </c>
      <c r="F149" s="36"/>
      <c r="G149" t="s" s="90">
        <v>3489</v>
      </c>
      <c r="H149" s="30"/>
      <c r="I149" s="6"/>
      <c r="J149" s="7"/>
    </row>
    <row r="150" ht="22" customHeight="1">
      <c r="A150" t="s" s="128">
        <v>3607</v>
      </c>
      <c r="B150" t="s" s="126">
        <v>3487</v>
      </c>
      <c r="C150" t="s" s="126">
        <v>3487</v>
      </c>
      <c r="D150" t="s" s="126">
        <v>3487</v>
      </c>
      <c r="E150" t="s" s="126">
        <v>3487</v>
      </c>
      <c r="F150" s="36"/>
      <c r="G150" t="s" s="90">
        <v>3489</v>
      </c>
      <c r="H150" s="30"/>
      <c r="I150" s="6"/>
      <c r="J150" s="7"/>
    </row>
    <row r="151" ht="22" customHeight="1">
      <c r="A151" t="s" s="128">
        <v>3608</v>
      </c>
      <c r="B151" t="s" s="126">
        <v>3487</v>
      </c>
      <c r="C151" t="s" s="126">
        <v>3487</v>
      </c>
      <c r="D151" t="s" s="126">
        <v>3487</v>
      </c>
      <c r="E151" t="s" s="126">
        <v>3487</v>
      </c>
      <c r="F151" s="36"/>
      <c r="G151" t="s" s="90">
        <v>3489</v>
      </c>
      <c r="H151" s="30"/>
      <c r="I151" s="6"/>
      <c r="J151" s="7"/>
    </row>
    <row r="152" ht="22" customHeight="1">
      <c r="A152" t="s" s="128">
        <v>3609</v>
      </c>
      <c r="B152" t="s" s="126">
        <v>3487</v>
      </c>
      <c r="C152" t="s" s="126">
        <v>3487</v>
      </c>
      <c r="D152" t="s" s="126">
        <v>3487</v>
      </c>
      <c r="E152" t="s" s="126">
        <v>3487</v>
      </c>
      <c r="F152" s="36"/>
      <c r="G152" t="s" s="90">
        <v>3489</v>
      </c>
      <c r="H152" s="30"/>
      <c r="I152" s="6"/>
      <c r="J152" s="7"/>
    </row>
    <row r="153" ht="22" customHeight="1">
      <c r="A153" t="s" s="128">
        <v>3279</v>
      </c>
      <c r="B153" t="s" s="126">
        <v>3487</v>
      </c>
      <c r="C153" t="s" s="126">
        <v>3487</v>
      </c>
      <c r="D153" t="s" s="126">
        <v>3487</v>
      </c>
      <c r="E153" t="s" s="126">
        <v>3487</v>
      </c>
      <c r="F153" s="36"/>
      <c r="G153" t="s" s="90">
        <v>3489</v>
      </c>
      <c r="H153" s="30"/>
      <c r="I153" s="6"/>
      <c r="J153" s="7"/>
    </row>
    <row r="154" ht="22" customHeight="1">
      <c r="A154" t="s" s="128">
        <v>3610</v>
      </c>
      <c r="B154" t="s" s="126">
        <v>3487</v>
      </c>
      <c r="C154" t="s" s="126">
        <v>3487</v>
      </c>
      <c r="D154" t="s" s="126">
        <v>3487</v>
      </c>
      <c r="E154" t="s" s="126">
        <v>3487</v>
      </c>
      <c r="F154" s="36"/>
      <c r="G154" t="s" s="90">
        <v>3489</v>
      </c>
      <c r="H154" s="30"/>
      <c r="I154" s="6"/>
      <c r="J154" s="7"/>
    </row>
    <row r="155" ht="22" customHeight="1">
      <c r="A155" t="s" s="128">
        <v>3611</v>
      </c>
      <c r="B155" t="s" s="126">
        <v>3487</v>
      </c>
      <c r="C155" t="s" s="126">
        <v>3487</v>
      </c>
      <c r="D155" t="s" s="126">
        <v>3487</v>
      </c>
      <c r="E155" t="s" s="126">
        <v>3487</v>
      </c>
      <c r="F155" s="36"/>
      <c r="G155" t="s" s="90">
        <v>3489</v>
      </c>
      <c r="H155" s="30"/>
      <c r="I155" s="6"/>
      <c r="J155" s="7"/>
    </row>
    <row r="156" ht="22" customHeight="1">
      <c r="A156" t="s" s="128">
        <v>3612</v>
      </c>
      <c r="B156" t="s" s="126">
        <v>3487</v>
      </c>
      <c r="C156" t="s" s="126">
        <v>3487</v>
      </c>
      <c r="D156" t="s" s="126">
        <v>3487</v>
      </c>
      <c r="E156" t="s" s="126">
        <v>3487</v>
      </c>
      <c r="F156" s="36"/>
      <c r="G156" t="s" s="90">
        <v>3489</v>
      </c>
      <c r="H156" s="30"/>
      <c r="I156" s="6"/>
      <c r="J156" s="7"/>
    </row>
    <row r="157" ht="22" customHeight="1">
      <c r="A157" t="s" s="128">
        <v>3613</v>
      </c>
      <c r="B157" t="s" s="126">
        <v>3487</v>
      </c>
      <c r="C157" t="s" s="126">
        <v>3487</v>
      </c>
      <c r="D157" t="s" s="126">
        <v>3487</v>
      </c>
      <c r="E157" t="s" s="126">
        <v>3487</v>
      </c>
      <c r="F157" s="36"/>
      <c r="G157" t="s" s="90">
        <v>3489</v>
      </c>
      <c r="H157" s="30"/>
      <c r="I157" s="6"/>
      <c r="J157" s="7"/>
    </row>
    <row r="158" ht="22" customHeight="1">
      <c r="A158" t="s" s="128">
        <v>2987</v>
      </c>
      <c r="B158" t="s" s="126">
        <v>3487</v>
      </c>
      <c r="C158" t="s" s="126">
        <v>3487</v>
      </c>
      <c r="D158" t="s" s="126">
        <v>3487</v>
      </c>
      <c r="E158" t="s" s="126">
        <v>3487</v>
      </c>
      <c r="F158" s="36"/>
      <c r="G158" t="s" s="90">
        <v>3489</v>
      </c>
      <c r="H158" s="30"/>
      <c r="I158" s="6"/>
      <c r="J158" s="7"/>
    </row>
    <row r="159" ht="22" customHeight="1">
      <c r="A159" t="s" s="128">
        <v>3614</v>
      </c>
      <c r="B159" t="s" s="126">
        <v>3487</v>
      </c>
      <c r="C159" t="s" s="126">
        <v>3487</v>
      </c>
      <c r="D159" t="s" s="126">
        <v>3487</v>
      </c>
      <c r="E159" t="s" s="126">
        <v>3487</v>
      </c>
      <c r="F159" s="36"/>
      <c r="G159" t="s" s="90">
        <v>3489</v>
      </c>
      <c r="H159" s="30"/>
      <c r="I159" s="6"/>
      <c r="J159" s="7"/>
    </row>
    <row r="160" ht="22" customHeight="1">
      <c r="A160" t="s" s="128">
        <v>3615</v>
      </c>
      <c r="B160" t="s" s="126">
        <v>3487</v>
      </c>
      <c r="C160" t="s" s="126">
        <v>3487</v>
      </c>
      <c r="D160" t="s" s="126">
        <v>3487</v>
      </c>
      <c r="E160" t="s" s="126">
        <v>3487</v>
      </c>
      <c r="F160" s="36"/>
      <c r="G160" t="s" s="90">
        <v>3489</v>
      </c>
      <c r="H160" s="30"/>
      <c r="I160" s="6"/>
      <c r="J160" s="7"/>
    </row>
    <row r="161" ht="22" customHeight="1">
      <c r="A161" t="s" s="128">
        <v>3616</v>
      </c>
      <c r="B161" t="s" s="126">
        <v>3487</v>
      </c>
      <c r="C161" t="s" s="126">
        <v>3487</v>
      </c>
      <c r="D161" t="s" s="126">
        <v>3487</v>
      </c>
      <c r="E161" t="s" s="126">
        <v>3487</v>
      </c>
      <c r="F161" s="36"/>
      <c r="G161" t="s" s="90">
        <v>3489</v>
      </c>
      <c r="H161" s="30"/>
      <c r="I161" s="6"/>
      <c r="J161" s="7"/>
    </row>
    <row r="162" ht="22" customHeight="1">
      <c r="A162" t="s" s="128">
        <v>3297</v>
      </c>
      <c r="B162" t="s" s="126">
        <v>3487</v>
      </c>
      <c r="C162" t="s" s="126">
        <v>3487</v>
      </c>
      <c r="D162" t="s" s="126">
        <v>3487</v>
      </c>
      <c r="E162" t="s" s="126">
        <v>3487</v>
      </c>
      <c r="F162" s="36"/>
      <c r="G162" t="s" s="90">
        <v>3489</v>
      </c>
      <c r="H162" s="30"/>
      <c r="I162" s="6"/>
      <c r="J162" s="7"/>
    </row>
    <row r="163" ht="22" customHeight="1">
      <c r="A163" t="s" s="128">
        <v>3148</v>
      </c>
      <c r="B163" t="s" s="126">
        <v>3487</v>
      </c>
      <c r="C163" t="s" s="126">
        <v>3487</v>
      </c>
      <c r="D163" t="s" s="126">
        <v>3487</v>
      </c>
      <c r="E163" t="s" s="126">
        <v>3487</v>
      </c>
      <c r="F163" s="36"/>
      <c r="G163" t="s" s="90">
        <v>3489</v>
      </c>
      <c r="H163" s="30"/>
      <c r="I163" s="6"/>
      <c r="J163" s="7"/>
    </row>
    <row r="164" ht="22" customHeight="1">
      <c r="A164" t="s" s="94">
        <v>3617</v>
      </c>
      <c r="B164" t="s" s="126">
        <v>3487</v>
      </c>
      <c r="C164" t="s" s="126">
        <v>3487</v>
      </c>
      <c r="D164" t="s" s="126">
        <v>3487</v>
      </c>
      <c r="E164" t="s" s="126">
        <v>3487</v>
      </c>
      <c r="F164" s="36"/>
      <c r="G164" t="s" s="90">
        <v>3489</v>
      </c>
      <c r="H164" s="30"/>
      <c r="I164" s="6"/>
      <c r="J164" s="7"/>
    </row>
    <row r="165" ht="22" customHeight="1">
      <c r="A165" t="s" s="94">
        <v>3618</v>
      </c>
      <c r="B165" t="s" s="126">
        <v>3487</v>
      </c>
      <c r="C165" t="s" s="126">
        <v>3487</v>
      </c>
      <c r="D165" t="s" s="126">
        <v>3487</v>
      </c>
      <c r="E165" t="s" s="126">
        <v>3487</v>
      </c>
      <c r="F165" s="36"/>
      <c r="G165" t="s" s="90">
        <v>3489</v>
      </c>
      <c r="H165" s="30"/>
      <c r="I165" s="6"/>
      <c r="J165" s="7"/>
    </row>
    <row r="166" ht="22" customHeight="1">
      <c r="A166" t="s" s="94">
        <v>3619</v>
      </c>
      <c r="B166" t="s" s="126">
        <v>3487</v>
      </c>
      <c r="C166" t="s" s="126">
        <v>3487</v>
      </c>
      <c r="D166" t="s" s="126">
        <v>3487</v>
      </c>
      <c r="E166" t="s" s="126">
        <v>3487</v>
      </c>
      <c r="F166" s="36"/>
      <c r="G166" t="s" s="90">
        <v>3489</v>
      </c>
      <c r="H166" s="30"/>
      <c r="I166" s="6"/>
      <c r="J166" s="7"/>
    </row>
    <row r="167" ht="22" customHeight="1">
      <c r="A167" t="s" s="94">
        <v>3620</v>
      </c>
      <c r="B167" t="s" s="126">
        <v>3487</v>
      </c>
      <c r="C167" t="s" s="126">
        <v>3487</v>
      </c>
      <c r="D167" t="s" s="126">
        <v>3487</v>
      </c>
      <c r="E167" t="s" s="126">
        <v>3487</v>
      </c>
      <c r="F167" s="36"/>
      <c r="G167" t="s" s="90">
        <v>3489</v>
      </c>
      <c r="H167" s="30"/>
      <c r="I167" s="6"/>
      <c r="J167" s="7"/>
    </row>
    <row r="168" ht="22" customHeight="1">
      <c r="A168" t="s" s="94">
        <v>3621</v>
      </c>
      <c r="B168" t="s" s="126">
        <v>3487</v>
      </c>
      <c r="C168" t="s" s="126">
        <v>3487</v>
      </c>
      <c r="D168" t="s" s="126">
        <v>3487</v>
      </c>
      <c r="E168" t="s" s="126">
        <v>3487</v>
      </c>
      <c r="F168" s="36"/>
      <c r="G168" t="s" s="90">
        <v>3489</v>
      </c>
      <c r="H168" s="30"/>
      <c r="I168" s="6"/>
      <c r="J168" s="7"/>
    </row>
    <row r="169" ht="22" customHeight="1">
      <c r="A169" t="s" s="94">
        <v>3622</v>
      </c>
      <c r="B169" t="s" s="126">
        <v>3487</v>
      </c>
      <c r="C169" t="s" s="126">
        <v>3487</v>
      </c>
      <c r="D169" t="s" s="126">
        <v>3487</v>
      </c>
      <c r="E169" t="s" s="126">
        <v>3487</v>
      </c>
      <c r="F169" s="36"/>
      <c r="G169" t="s" s="90">
        <v>3489</v>
      </c>
      <c r="H169" s="30"/>
      <c r="I169" s="6"/>
      <c r="J169" s="7"/>
    </row>
    <row r="170" ht="22" customHeight="1">
      <c r="A170" t="s" s="94">
        <v>3623</v>
      </c>
      <c r="B170" t="s" s="126">
        <v>3487</v>
      </c>
      <c r="C170" t="s" s="126">
        <v>3487</v>
      </c>
      <c r="D170" t="s" s="126">
        <v>3487</v>
      </c>
      <c r="E170" t="s" s="126">
        <v>3487</v>
      </c>
      <c r="F170" s="36"/>
      <c r="G170" t="s" s="90">
        <v>3489</v>
      </c>
      <c r="H170" s="30"/>
      <c r="I170" s="6"/>
      <c r="J170" s="7"/>
    </row>
    <row r="171" ht="22" customHeight="1">
      <c r="A171" t="s" s="94">
        <v>3624</v>
      </c>
      <c r="B171" t="s" s="126">
        <v>3487</v>
      </c>
      <c r="C171" t="s" s="126">
        <v>3487</v>
      </c>
      <c r="D171" t="s" s="126">
        <v>3487</v>
      </c>
      <c r="E171" t="s" s="126">
        <v>3487</v>
      </c>
      <c r="F171" s="36"/>
      <c r="G171" t="s" s="90">
        <v>3489</v>
      </c>
      <c r="H171" s="30"/>
      <c r="I171" s="6"/>
      <c r="J171" s="7"/>
    </row>
    <row r="172" ht="22" customHeight="1">
      <c r="A172" t="s" s="94">
        <v>3625</v>
      </c>
      <c r="B172" t="s" s="126">
        <v>3487</v>
      </c>
      <c r="C172" t="s" s="126">
        <v>3487</v>
      </c>
      <c r="D172" t="s" s="126">
        <v>3487</v>
      </c>
      <c r="E172" t="s" s="126">
        <v>3487</v>
      </c>
      <c r="F172" s="36"/>
      <c r="G172" t="s" s="90">
        <v>3489</v>
      </c>
      <c r="H172" s="30"/>
      <c r="I172" s="6"/>
      <c r="J172" s="7"/>
    </row>
    <row r="173" ht="22" customHeight="1">
      <c r="A173" t="s" s="128">
        <v>3626</v>
      </c>
      <c r="B173" t="s" s="126">
        <v>3487</v>
      </c>
      <c r="C173" t="s" s="126">
        <v>3487</v>
      </c>
      <c r="D173" t="s" s="126">
        <v>3487</v>
      </c>
      <c r="E173" t="s" s="126">
        <v>3487</v>
      </c>
      <c r="F173" s="36"/>
      <c r="G173" t="s" s="90">
        <v>3489</v>
      </c>
      <c r="H173" s="30"/>
      <c r="I173" s="6"/>
      <c r="J173" s="7"/>
    </row>
    <row r="174" ht="26.25" customHeight="1">
      <c r="A174" t="s" s="84">
        <v>3627</v>
      </c>
      <c r="B174" s="125"/>
      <c r="C174" s="125"/>
      <c r="D174" s="125"/>
      <c r="E174" s="125"/>
      <c r="F174" s="125"/>
      <c r="G174" s="125"/>
      <c r="H174" s="30"/>
      <c r="I174" s="6"/>
      <c r="J174" s="7"/>
    </row>
    <row r="175" ht="26.25" customHeight="1">
      <c r="A175" s="125"/>
      <c r="B175" s="125"/>
      <c r="C175" s="125"/>
      <c r="D175" s="125"/>
      <c r="E175" s="125"/>
      <c r="F175" s="125"/>
      <c r="G175" s="125"/>
      <c r="H175" s="30"/>
      <c r="I175" s="6"/>
      <c r="J175" s="7"/>
    </row>
    <row r="176" ht="22" customHeight="1">
      <c r="A176" t="s" s="129">
        <v>3480</v>
      </c>
      <c r="B176" t="s" s="126">
        <v>3481</v>
      </c>
      <c r="C176" t="s" s="126">
        <v>3482</v>
      </c>
      <c r="D176" t="s" s="126">
        <v>3483</v>
      </c>
      <c r="E176" t="s" s="126">
        <v>3484</v>
      </c>
      <c r="F176" t="s" s="126">
        <v>2963</v>
      </c>
      <c r="G176" t="s" s="127">
        <v>3485</v>
      </c>
      <c r="H176" s="30"/>
      <c r="I176" s="6"/>
      <c r="J176" s="7"/>
    </row>
    <row r="177" ht="22" customHeight="1">
      <c r="A177" t="s" s="94">
        <v>3628</v>
      </c>
      <c r="B177" t="s" s="126">
        <v>3487</v>
      </c>
      <c r="C177" t="s" s="126">
        <v>3487</v>
      </c>
      <c r="D177" t="s" s="126">
        <v>3487</v>
      </c>
      <c r="E177" s="36"/>
      <c r="F177" s="36"/>
      <c r="G177" t="s" s="90">
        <v>3629</v>
      </c>
      <c r="H177" s="30"/>
      <c r="I177" s="6"/>
      <c r="J177" s="7"/>
    </row>
    <row r="178" ht="22" customHeight="1">
      <c r="A178" t="s" s="94">
        <v>3630</v>
      </c>
      <c r="B178" t="s" s="126">
        <v>3487</v>
      </c>
      <c r="C178" t="s" s="126">
        <v>3487</v>
      </c>
      <c r="D178" t="s" s="126">
        <v>3487</v>
      </c>
      <c r="E178" s="36"/>
      <c r="F178" s="36"/>
      <c r="G178" t="s" s="90">
        <v>3629</v>
      </c>
      <c r="H178" s="30"/>
      <c r="I178" s="6"/>
      <c r="J178" s="7"/>
    </row>
    <row r="179" ht="22" customHeight="1">
      <c r="A179" t="s" s="94">
        <v>3631</v>
      </c>
      <c r="B179" t="s" s="126">
        <v>3487</v>
      </c>
      <c r="C179" t="s" s="126">
        <v>3487</v>
      </c>
      <c r="D179" t="s" s="126">
        <v>3487</v>
      </c>
      <c r="E179" s="36"/>
      <c r="F179" s="36"/>
      <c r="G179" t="s" s="90">
        <v>3629</v>
      </c>
      <c r="H179" s="30"/>
      <c r="I179" s="6"/>
      <c r="J179" s="130" cm="1">
        <f t="array" ref="J179">177-227</f>
        <v>-50</v>
      </c>
    </row>
    <row r="180" ht="22" customHeight="1">
      <c r="A180" t="s" s="94">
        <v>3632</v>
      </c>
      <c r="B180" t="s" s="126">
        <v>3487</v>
      </c>
      <c r="C180" t="s" s="126">
        <v>3487</v>
      </c>
      <c r="D180" t="s" s="126">
        <v>3487</v>
      </c>
      <c r="E180" s="36"/>
      <c r="F180" s="36"/>
      <c r="G180" t="s" s="90">
        <v>3629</v>
      </c>
      <c r="H180" s="30"/>
      <c r="I180" s="6"/>
      <c r="J180" s="7"/>
    </row>
    <row r="181" ht="22" customHeight="1">
      <c r="A181" t="s" s="94">
        <v>3604</v>
      </c>
      <c r="B181" t="s" s="126">
        <v>3487</v>
      </c>
      <c r="C181" t="s" s="126">
        <v>3487</v>
      </c>
      <c r="D181" t="s" s="126">
        <v>3487</v>
      </c>
      <c r="E181" s="36"/>
      <c r="F181" s="36"/>
      <c r="G181" t="s" s="90">
        <v>3629</v>
      </c>
      <c r="H181" s="30"/>
      <c r="I181" s="6"/>
      <c r="J181" s="7"/>
    </row>
    <row r="182" ht="22" customHeight="1">
      <c r="A182" t="s" s="94">
        <v>3575</v>
      </c>
      <c r="B182" t="s" s="126">
        <v>3487</v>
      </c>
      <c r="C182" t="s" s="126">
        <v>3487</v>
      </c>
      <c r="D182" t="s" s="126">
        <v>3487</v>
      </c>
      <c r="E182" s="36"/>
      <c r="F182" s="36"/>
      <c r="G182" t="s" s="90">
        <v>3629</v>
      </c>
      <c r="H182" s="30"/>
      <c r="I182" s="6"/>
      <c r="J182" s="7"/>
    </row>
    <row r="183" ht="22" customHeight="1">
      <c r="A183" t="s" s="94">
        <v>3633</v>
      </c>
      <c r="B183" t="s" s="126">
        <v>3487</v>
      </c>
      <c r="C183" t="s" s="126">
        <v>3487</v>
      </c>
      <c r="D183" t="s" s="126">
        <v>3487</v>
      </c>
      <c r="E183" s="36"/>
      <c r="F183" s="36"/>
      <c r="G183" t="s" s="90">
        <v>3629</v>
      </c>
      <c r="H183" s="30"/>
      <c r="I183" s="6"/>
      <c r="J183" s="7"/>
    </row>
    <row r="184" ht="22" customHeight="1">
      <c r="A184" t="s" s="94">
        <v>3634</v>
      </c>
      <c r="B184" t="s" s="126">
        <v>3487</v>
      </c>
      <c r="C184" t="s" s="126">
        <v>3487</v>
      </c>
      <c r="D184" t="s" s="126">
        <v>3487</v>
      </c>
      <c r="E184" s="36"/>
      <c r="F184" s="36"/>
      <c r="G184" t="s" s="90">
        <v>3629</v>
      </c>
      <c r="H184" s="30"/>
      <c r="I184" s="6"/>
      <c r="J184" s="7"/>
    </row>
    <row r="185" ht="22" customHeight="1">
      <c r="A185" t="s" s="94">
        <v>3635</v>
      </c>
      <c r="B185" t="s" s="126">
        <v>3487</v>
      </c>
      <c r="C185" t="s" s="126">
        <v>3487</v>
      </c>
      <c r="D185" t="s" s="126">
        <v>3487</v>
      </c>
      <c r="E185" s="36"/>
      <c r="F185" s="36"/>
      <c r="G185" t="s" s="90">
        <v>3629</v>
      </c>
      <c r="H185" s="30"/>
      <c r="I185" s="6"/>
      <c r="J185" s="7"/>
    </row>
    <row r="186" ht="22" customHeight="1">
      <c r="A186" t="s" s="94">
        <v>3636</v>
      </c>
      <c r="B186" t="s" s="126">
        <v>3487</v>
      </c>
      <c r="C186" t="s" s="126">
        <v>3487</v>
      </c>
      <c r="D186" t="s" s="126">
        <v>3487</v>
      </c>
      <c r="E186" s="36"/>
      <c r="F186" s="36"/>
      <c r="G186" t="s" s="90">
        <v>3629</v>
      </c>
      <c r="H186" s="30"/>
      <c r="I186" s="6"/>
      <c r="J186" s="7"/>
    </row>
    <row r="187" ht="22" customHeight="1">
      <c r="A187" t="s" s="94">
        <v>3637</v>
      </c>
      <c r="B187" t="s" s="126">
        <v>3487</v>
      </c>
      <c r="C187" t="s" s="126">
        <v>3487</v>
      </c>
      <c r="D187" t="s" s="126">
        <v>3487</v>
      </c>
      <c r="E187" s="36"/>
      <c r="F187" s="36"/>
      <c r="G187" t="s" s="90">
        <v>3629</v>
      </c>
      <c r="H187" s="30"/>
      <c r="I187" s="6"/>
      <c r="J187" s="7"/>
    </row>
    <row r="188" ht="22" customHeight="1">
      <c r="A188" t="s" s="94">
        <v>3638</v>
      </c>
      <c r="B188" t="s" s="126">
        <v>3487</v>
      </c>
      <c r="C188" t="s" s="126">
        <v>3487</v>
      </c>
      <c r="D188" t="s" s="126">
        <v>3487</v>
      </c>
      <c r="E188" s="36"/>
      <c r="F188" s="36"/>
      <c r="G188" t="s" s="90">
        <v>3629</v>
      </c>
      <c r="H188" s="30"/>
      <c r="I188" s="6"/>
      <c r="J188" s="7"/>
    </row>
    <row r="189" ht="22" customHeight="1">
      <c r="A189" t="s" s="94">
        <v>3639</v>
      </c>
      <c r="B189" t="s" s="126">
        <v>3487</v>
      </c>
      <c r="C189" t="s" s="126">
        <v>3487</v>
      </c>
      <c r="D189" t="s" s="126">
        <v>3487</v>
      </c>
      <c r="E189" s="36"/>
      <c r="F189" s="36"/>
      <c r="G189" t="s" s="90">
        <v>3629</v>
      </c>
      <c r="H189" s="30"/>
      <c r="I189" s="6"/>
      <c r="J189" s="7"/>
    </row>
    <row r="190" ht="22" customHeight="1">
      <c r="A190" t="s" s="94">
        <v>3640</v>
      </c>
      <c r="B190" t="s" s="126">
        <v>3487</v>
      </c>
      <c r="C190" t="s" s="126">
        <v>3487</v>
      </c>
      <c r="D190" t="s" s="126">
        <v>3487</v>
      </c>
      <c r="E190" s="36"/>
      <c r="F190" s="36"/>
      <c r="G190" t="s" s="90">
        <v>3629</v>
      </c>
      <c r="H190" s="30"/>
      <c r="I190" s="6"/>
      <c r="J190" s="7"/>
    </row>
    <row r="191" ht="22" customHeight="1">
      <c r="A191" t="s" s="94">
        <v>3641</v>
      </c>
      <c r="B191" t="s" s="126">
        <v>3487</v>
      </c>
      <c r="C191" t="s" s="126">
        <v>3487</v>
      </c>
      <c r="D191" t="s" s="126">
        <v>3487</v>
      </c>
      <c r="E191" s="36"/>
      <c r="F191" s="36"/>
      <c r="G191" t="s" s="90">
        <v>3629</v>
      </c>
      <c r="H191" s="30"/>
      <c r="I191" s="6"/>
      <c r="J191" s="7"/>
    </row>
    <row r="192" ht="22" customHeight="1">
      <c r="A192" t="s" s="94">
        <v>3642</v>
      </c>
      <c r="B192" t="s" s="126">
        <v>3487</v>
      </c>
      <c r="C192" t="s" s="126">
        <v>3487</v>
      </c>
      <c r="D192" t="s" s="126">
        <v>3487</v>
      </c>
      <c r="E192" s="36"/>
      <c r="F192" s="36"/>
      <c r="G192" t="s" s="90">
        <v>3629</v>
      </c>
      <c r="H192" s="30"/>
      <c r="I192" s="6"/>
      <c r="J192" s="7"/>
    </row>
    <row r="193" ht="22" customHeight="1">
      <c r="A193" t="s" s="94">
        <v>3643</v>
      </c>
      <c r="B193" t="s" s="126">
        <v>3487</v>
      </c>
      <c r="C193" t="s" s="126">
        <v>3487</v>
      </c>
      <c r="D193" t="s" s="126">
        <v>3487</v>
      </c>
      <c r="E193" s="36"/>
      <c r="F193" s="36"/>
      <c r="G193" t="s" s="90">
        <v>3629</v>
      </c>
      <c r="H193" s="30"/>
      <c r="I193" s="6"/>
      <c r="J193" s="7"/>
    </row>
    <row r="194" ht="22" customHeight="1">
      <c r="A194" t="s" s="94">
        <v>3588</v>
      </c>
      <c r="B194" t="s" s="126">
        <v>3487</v>
      </c>
      <c r="C194" t="s" s="126">
        <v>3487</v>
      </c>
      <c r="D194" t="s" s="126">
        <v>3487</v>
      </c>
      <c r="E194" s="36"/>
      <c r="F194" s="36"/>
      <c r="G194" t="s" s="90">
        <v>3629</v>
      </c>
      <c r="H194" s="30"/>
      <c r="I194" s="6"/>
      <c r="J194" s="7"/>
    </row>
    <row r="195" ht="22" customHeight="1">
      <c r="A195" t="s" s="94">
        <v>3644</v>
      </c>
      <c r="B195" t="s" s="126">
        <v>3487</v>
      </c>
      <c r="C195" t="s" s="126">
        <v>3487</v>
      </c>
      <c r="D195" t="s" s="126">
        <v>3487</v>
      </c>
      <c r="E195" s="36"/>
      <c r="F195" s="36"/>
      <c r="G195" t="s" s="90">
        <v>3629</v>
      </c>
      <c r="H195" s="30"/>
      <c r="I195" s="6"/>
      <c r="J195" s="7"/>
    </row>
    <row r="196" ht="22" customHeight="1">
      <c r="A196" t="s" s="94">
        <v>3645</v>
      </c>
      <c r="B196" t="s" s="126">
        <v>3487</v>
      </c>
      <c r="C196" t="s" s="126">
        <v>3487</v>
      </c>
      <c r="D196" t="s" s="126">
        <v>3487</v>
      </c>
      <c r="E196" s="36"/>
      <c r="F196" s="36"/>
      <c r="G196" t="s" s="90">
        <v>3629</v>
      </c>
      <c r="H196" s="30"/>
      <c r="I196" s="6"/>
      <c r="J196" s="7"/>
    </row>
    <row r="197" ht="22" customHeight="1">
      <c r="A197" t="s" s="94">
        <v>3646</v>
      </c>
      <c r="B197" t="s" s="126">
        <v>3487</v>
      </c>
      <c r="C197" t="s" s="126">
        <v>3487</v>
      </c>
      <c r="D197" t="s" s="126">
        <v>3487</v>
      </c>
      <c r="E197" s="36"/>
      <c r="F197" s="36"/>
      <c r="G197" t="s" s="90">
        <v>3629</v>
      </c>
      <c r="H197" s="30"/>
      <c r="I197" s="6"/>
      <c r="J197" s="7"/>
    </row>
    <row r="198" ht="22" customHeight="1">
      <c r="A198" t="s" s="94">
        <v>3647</v>
      </c>
      <c r="B198" t="s" s="126">
        <v>3487</v>
      </c>
      <c r="C198" t="s" s="126">
        <v>3487</v>
      </c>
      <c r="D198" t="s" s="126">
        <v>3487</v>
      </c>
      <c r="E198" s="36"/>
      <c r="F198" s="36"/>
      <c r="G198" t="s" s="90">
        <v>3629</v>
      </c>
      <c r="H198" s="30"/>
      <c r="I198" s="6"/>
      <c r="J198" s="7"/>
    </row>
    <row r="199" ht="22" customHeight="1">
      <c r="A199" t="s" s="94">
        <v>3648</v>
      </c>
      <c r="B199" t="s" s="126">
        <v>3487</v>
      </c>
      <c r="C199" t="s" s="126">
        <v>3487</v>
      </c>
      <c r="D199" t="s" s="126">
        <v>3487</v>
      </c>
      <c r="E199" s="36"/>
      <c r="F199" s="36"/>
      <c r="G199" t="s" s="90">
        <v>3629</v>
      </c>
      <c r="H199" s="30"/>
      <c r="I199" s="6"/>
      <c r="J199" s="7"/>
    </row>
    <row r="200" ht="22" customHeight="1">
      <c r="A200" t="s" s="94">
        <v>3649</v>
      </c>
      <c r="B200" t="s" s="126">
        <v>3487</v>
      </c>
      <c r="C200" t="s" s="126">
        <v>3487</v>
      </c>
      <c r="D200" t="s" s="126">
        <v>3487</v>
      </c>
      <c r="E200" s="36"/>
      <c r="F200" s="36"/>
      <c r="G200" t="s" s="90">
        <v>3629</v>
      </c>
      <c r="H200" s="30"/>
      <c r="I200" s="6"/>
      <c r="J200" s="7"/>
    </row>
    <row r="201" ht="22" customHeight="1">
      <c r="A201" t="s" s="94">
        <v>3650</v>
      </c>
      <c r="B201" t="s" s="126">
        <v>3487</v>
      </c>
      <c r="C201" t="s" s="126">
        <v>3487</v>
      </c>
      <c r="D201" t="s" s="126">
        <v>3487</v>
      </c>
      <c r="E201" s="36"/>
      <c r="F201" s="36"/>
      <c r="G201" t="s" s="90">
        <v>3629</v>
      </c>
      <c r="H201" s="30"/>
      <c r="I201" s="6"/>
      <c r="J201" s="7"/>
    </row>
    <row r="202" ht="22" customHeight="1">
      <c r="A202" t="s" s="94">
        <v>3651</v>
      </c>
      <c r="B202" t="s" s="126">
        <v>3487</v>
      </c>
      <c r="C202" t="s" s="126">
        <v>3487</v>
      </c>
      <c r="D202" t="s" s="126">
        <v>3487</v>
      </c>
      <c r="E202" s="36"/>
      <c r="F202" s="36"/>
      <c r="G202" t="s" s="90">
        <v>3629</v>
      </c>
      <c r="H202" s="30"/>
      <c r="I202" s="6"/>
      <c r="J202" s="7"/>
    </row>
    <row r="203" ht="22" customHeight="1">
      <c r="A203" t="s" s="94">
        <v>3652</v>
      </c>
      <c r="B203" t="s" s="126">
        <v>3487</v>
      </c>
      <c r="C203" t="s" s="126">
        <v>3487</v>
      </c>
      <c r="D203" t="s" s="126">
        <v>3487</v>
      </c>
      <c r="E203" s="36"/>
      <c r="F203" s="36"/>
      <c r="G203" t="s" s="90">
        <v>3629</v>
      </c>
      <c r="H203" s="30"/>
      <c r="I203" s="6"/>
      <c r="J203" s="7"/>
    </row>
    <row r="204" ht="22" customHeight="1">
      <c r="A204" t="s" s="94">
        <v>3653</v>
      </c>
      <c r="B204" t="s" s="126">
        <v>3487</v>
      </c>
      <c r="C204" t="s" s="126">
        <v>3487</v>
      </c>
      <c r="D204" t="s" s="126">
        <v>3487</v>
      </c>
      <c r="E204" s="36"/>
      <c r="F204" s="36"/>
      <c r="G204" t="s" s="90">
        <v>3629</v>
      </c>
      <c r="H204" s="30"/>
      <c r="I204" s="6"/>
      <c r="J204" s="7"/>
    </row>
    <row r="205" ht="22" customHeight="1">
      <c r="A205" t="s" s="94">
        <v>3654</v>
      </c>
      <c r="B205" t="s" s="126">
        <v>3487</v>
      </c>
      <c r="C205" t="s" s="126">
        <v>3487</v>
      </c>
      <c r="D205" t="s" s="126">
        <v>3487</v>
      </c>
      <c r="E205" s="36"/>
      <c r="F205" s="36"/>
      <c r="G205" t="s" s="90">
        <v>3629</v>
      </c>
      <c r="H205" s="30"/>
      <c r="I205" s="6"/>
      <c r="J205" s="7"/>
    </row>
    <row r="206" ht="22" customHeight="1">
      <c r="A206" t="s" s="94">
        <v>3655</v>
      </c>
      <c r="B206" t="s" s="126">
        <v>3487</v>
      </c>
      <c r="C206" t="s" s="126">
        <v>3487</v>
      </c>
      <c r="D206" t="s" s="126">
        <v>3487</v>
      </c>
      <c r="E206" s="36"/>
      <c r="F206" s="36"/>
      <c r="G206" t="s" s="90">
        <v>3629</v>
      </c>
      <c r="H206" s="30"/>
      <c r="I206" s="6"/>
      <c r="J206" s="7"/>
    </row>
    <row r="207" ht="22" customHeight="1">
      <c r="A207" t="s" s="94">
        <v>3656</v>
      </c>
      <c r="B207" t="s" s="126">
        <v>3487</v>
      </c>
      <c r="C207" t="s" s="126">
        <v>3487</v>
      </c>
      <c r="D207" t="s" s="126">
        <v>3487</v>
      </c>
      <c r="E207" s="36"/>
      <c r="F207" s="36"/>
      <c r="G207" t="s" s="90">
        <v>3629</v>
      </c>
      <c r="H207" s="30"/>
      <c r="I207" s="6"/>
      <c r="J207" s="7"/>
    </row>
    <row r="208" ht="22" customHeight="1">
      <c r="A208" t="s" s="94">
        <v>3657</v>
      </c>
      <c r="B208" t="s" s="126">
        <v>3487</v>
      </c>
      <c r="C208" t="s" s="126">
        <v>3487</v>
      </c>
      <c r="D208" t="s" s="126">
        <v>3487</v>
      </c>
      <c r="E208" s="36"/>
      <c r="F208" s="36"/>
      <c r="G208" t="s" s="90">
        <v>3629</v>
      </c>
      <c r="H208" s="30"/>
      <c r="I208" s="6"/>
      <c r="J208" s="7"/>
    </row>
    <row r="209" ht="22" customHeight="1">
      <c r="A209" t="s" s="94">
        <v>3658</v>
      </c>
      <c r="B209" t="s" s="126">
        <v>3487</v>
      </c>
      <c r="C209" t="s" s="126">
        <v>3487</v>
      </c>
      <c r="D209" t="s" s="126">
        <v>3487</v>
      </c>
      <c r="E209" s="36"/>
      <c r="F209" s="36"/>
      <c r="G209" t="s" s="90">
        <v>3629</v>
      </c>
      <c r="H209" s="30"/>
      <c r="I209" s="6"/>
      <c r="J209" s="7"/>
    </row>
    <row r="210" ht="22" customHeight="1">
      <c r="A210" t="s" s="94">
        <v>3659</v>
      </c>
      <c r="B210" t="s" s="126">
        <v>3487</v>
      </c>
      <c r="C210" t="s" s="126">
        <v>3487</v>
      </c>
      <c r="D210" t="s" s="126">
        <v>3487</v>
      </c>
      <c r="E210" s="36"/>
      <c r="F210" s="36"/>
      <c r="G210" t="s" s="90">
        <v>3629</v>
      </c>
      <c r="H210" s="30"/>
      <c r="I210" s="6"/>
      <c r="J210" s="7"/>
    </row>
    <row r="211" ht="22" customHeight="1">
      <c r="A211" t="s" s="94">
        <v>3660</v>
      </c>
      <c r="B211" t="s" s="126">
        <v>3487</v>
      </c>
      <c r="C211" t="s" s="126">
        <v>3487</v>
      </c>
      <c r="D211" t="s" s="126">
        <v>3487</v>
      </c>
      <c r="E211" s="36"/>
      <c r="F211" s="36"/>
      <c r="G211" t="s" s="90">
        <v>3629</v>
      </c>
      <c r="H211" s="30"/>
      <c r="I211" s="6"/>
      <c r="J211" s="7"/>
    </row>
    <row r="212" ht="22" customHeight="1">
      <c r="A212" t="s" s="94">
        <v>3661</v>
      </c>
      <c r="B212" t="s" s="126">
        <v>3487</v>
      </c>
      <c r="C212" t="s" s="126">
        <v>3487</v>
      </c>
      <c r="D212" t="s" s="126">
        <v>3487</v>
      </c>
      <c r="E212" s="36"/>
      <c r="F212" s="36"/>
      <c r="G212" t="s" s="90">
        <v>3629</v>
      </c>
      <c r="H212" s="30"/>
      <c r="I212" s="6"/>
      <c r="J212" s="7"/>
    </row>
    <row r="213" ht="22" customHeight="1">
      <c r="A213" t="s" s="94">
        <v>3662</v>
      </c>
      <c r="B213" t="s" s="126">
        <v>3487</v>
      </c>
      <c r="C213" t="s" s="126">
        <v>3487</v>
      </c>
      <c r="D213" t="s" s="126">
        <v>3487</v>
      </c>
      <c r="E213" s="36"/>
      <c r="F213" s="36"/>
      <c r="G213" t="s" s="90">
        <v>3629</v>
      </c>
      <c r="H213" s="30"/>
      <c r="I213" s="6"/>
      <c r="J213" s="7"/>
    </row>
    <row r="214" ht="22" customHeight="1">
      <c r="A214" t="s" s="94">
        <v>3663</v>
      </c>
      <c r="B214" t="s" s="126">
        <v>3487</v>
      </c>
      <c r="C214" t="s" s="126">
        <v>3487</v>
      </c>
      <c r="D214" t="s" s="126">
        <v>3487</v>
      </c>
      <c r="E214" s="36"/>
      <c r="F214" s="36"/>
      <c r="G214" t="s" s="90">
        <v>3629</v>
      </c>
      <c r="H214" s="30"/>
      <c r="I214" s="6"/>
      <c r="J214" s="7"/>
    </row>
    <row r="215" ht="22" customHeight="1">
      <c r="A215" t="s" s="94">
        <v>3664</v>
      </c>
      <c r="B215" t="s" s="126">
        <v>3487</v>
      </c>
      <c r="C215" t="s" s="126">
        <v>3487</v>
      </c>
      <c r="D215" t="s" s="126">
        <v>3487</v>
      </c>
      <c r="E215" s="36"/>
      <c r="F215" s="36"/>
      <c r="G215" t="s" s="90">
        <v>3629</v>
      </c>
      <c r="H215" s="30"/>
      <c r="I215" s="6"/>
      <c r="J215" s="7"/>
    </row>
    <row r="216" ht="22" customHeight="1">
      <c r="A216" t="s" s="94">
        <v>3665</v>
      </c>
      <c r="B216" t="s" s="126">
        <v>3487</v>
      </c>
      <c r="C216" t="s" s="126">
        <v>3487</v>
      </c>
      <c r="D216" t="s" s="126">
        <v>3487</v>
      </c>
      <c r="E216" s="36"/>
      <c r="F216" s="36"/>
      <c r="G216" t="s" s="90">
        <v>3629</v>
      </c>
      <c r="H216" s="30"/>
      <c r="I216" s="6"/>
      <c r="J216" s="7"/>
    </row>
    <row r="217" ht="22" customHeight="1">
      <c r="A217" t="s" s="94">
        <v>3666</v>
      </c>
      <c r="B217" t="s" s="126">
        <v>3487</v>
      </c>
      <c r="C217" t="s" s="126">
        <v>3487</v>
      </c>
      <c r="D217" t="s" s="126">
        <v>3487</v>
      </c>
      <c r="E217" s="36"/>
      <c r="F217" s="36"/>
      <c r="G217" t="s" s="90">
        <v>3629</v>
      </c>
      <c r="H217" s="30"/>
      <c r="I217" s="6"/>
      <c r="J217" s="7"/>
    </row>
    <row r="218" ht="22" customHeight="1">
      <c r="A218" t="s" s="94">
        <v>3667</v>
      </c>
      <c r="B218" t="s" s="126">
        <v>3487</v>
      </c>
      <c r="C218" t="s" s="126">
        <v>3487</v>
      </c>
      <c r="D218" t="s" s="126">
        <v>3487</v>
      </c>
      <c r="E218" s="36"/>
      <c r="F218" s="36"/>
      <c r="G218" t="s" s="90">
        <v>3629</v>
      </c>
      <c r="H218" s="30"/>
      <c r="I218" s="6"/>
      <c r="J218" s="7"/>
    </row>
    <row r="219" ht="22" customHeight="1">
      <c r="A219" t="s" s="94">
        <v>3668</v>
      </c>
      <c r="B219" t="s" s="126">
        <v>3487</v>
      </c>
      <c r="C219" t="s" s="126">
        <v>3487</v>
      </c>
      <c r="D219" t="s" s="126">
        <v>3487</v>
      </c>
      <c r="E219" s="36"/>
      <c r="F219" s="36"/>
      <c r="G219" t="s" s="90">
        <v>3629</v>
      </c>
      <c r="H219" s="30"/>
      <c r="I219" s="6"/>
      <c r="J219" s="7"/>
    </row>
    <row r="220" ht="22" customHeight="1">
      <c r="A220" t="s" s="94">
        <v>3561</v>
      </c>
      <c r="B220" t="s" s="126">
        <v>3487</v>
      </c>
      <c r="C220" t="s" s="126">
        <v>3487</v>
      </c>
      <c r="D220" t="s" s="126">
        <v>3487</v>
      </c>
      <c r="E220" s="36"/>
      <c r="F220" s="36"/>
      <c r="G220" t="s" s="90">
        <v>3629</v>
      </c>
      <c r="H220" s="30"/>
      <c r="I220" s="6"/>
      <c r="J220" s="7"/>
    </row>
    <row r="221" ht="22" customHeight="1">
      <c r="A221" t="s" s="94">
        <v>3669</v>
      </c>
      <c r="B221" t="s" s="126">
        <v>3487</v>
      </c>
      <c r="C221" t="s" s="126">
        <v>3487</v>
      </c>
      <c r="D221" t="s" s="126">
        <v>3487</v>
      </c>
      <c r="E221" s="36"/>
      <c r="F221" s="36"/>
      <c r="G221" t="s" s="90">
        <v>3629</v>
      </c>
      <c r="H221" s="30"/>
      <c r="I221" s="6"/>
      <c r="J221" s="7"/>
    </row>
    <row r="222" ht="22" customHeight="1">
      <c r="A222" t="s" s="94">
        <v>3670</v>
      </c>
      <c r="B222" t="s" s="126">
        <v>3487</v>
      </c>
      <c r="C222" t="s" s="126">
        <v>3487</v>
      </c>
      <c r="D222" t="s" s="126">
        <v>3487</v>
      </c>
      <c r="E222" s="36"/>
      <c r="F222" s="36"/>
      <c r="G222" t="s" s="90">
        <v>3629</v>
      </c>
      <c r="H222" s="30"/>
      <c r="I222" s="6"/>
      <c r="J222" s="7"/>
    </row>
    <row r="223" ht="22" customHeight="1">
      <c r="A223" t="s" s="94">
        <v>3549</v>
      </c>
      <c r="B223" t="s" s="126">
        <v>3487</v>
      </c>
      <c r="C223" t="s" s="126">
        <v>3487</v>
      </c>
      <c r="D223" t="s" s="126">
        <v>3487</v>
      </c>
      <c r="E223" s="36"/>
      <c r="F223" s="36"/>
      <c r="G223" t="s" s="90">
        <v>3629</v>
      </c>
      <c r="H223" s="30"/>
      <c r="I223" s="6"/>
      <c r="J223" s="7"/>
    </row>
    <row r="224" ht="22" customHeight="1">
      <c r="A224" t="s" s="94">
        <v>3671</v>
      </c>
      <c r="B224" t="s" s="126">
        <v>3487</v>
      </c>
      <c r="C224" t="s" s="126">
        <v>3487</v>
      </c>
      <c r="D224" t="s" s="126">
        <v>3487</v>
      </c>
      <c r="E224" s="36"/>
      <c r="F224" s="36"/>
      <c r="G224" t="s" s="90">
        <v>3629</v>
      </c>
      <c r="H224" s="30"/>
      <c r="I224" s="6"/>
      <c r="J224" s="7"/>
    </row>
    <row r="225" ht="22" customHeight="1">
      <c r="A225" t="s" s="94">
        <v>3672</v>
      </c>
      <c r="B225" t="s" s="126">
        <v>3487</v>
      </c>
      <c r="C225" t="s" s="126">
        <v>3487</v>
      </c>
      <c r="D225" t="s" s="126">
        <v>3487</v>
      </c>
      <c r="E225" s="36"/>
      <c r="F225" s="36"/>
      <c r="G225" t="s" s="90">
        <v>3629</v>
      </c>
      <c r="H225" s="30"/>
      <c r="I225" s="6"/>
      <c r="J225" s="7"/>
    </row>
    <row r="226" ht="22" customHeight="1">
      <c r="A226" t="s" s="94">
        <v>3673</v>
      </c>
      <c r="B226" t="s" s="126">
        <v>3487</v>
      </c>
      <c r="C226" t="s" s="126">
        <v>3487</v>
      </c>
      <c r="D226" t="s" s="126">
        <v>3487</v>
      </c>
      <c r="E226" s="36"/>
      <c r="F226" s="36"/>
      <c r="G226" t="s" s="90">
        <v>3629</v>
      </c>
      <c r="H226" s="30"/>
      <c r="I226" s="6"/>
      <c r="J226" s="7"/>
    </row>
    <row r="227" ht="22" customHeight="1">
      <c r="A227" t="s" s="94">
        <v>3674</v>
      </c>
      <c r="B227" t="s" s="126">
        <v>3487</v>
      </c>
      <c r="C227" t="s" s="126">
        <v>3487</v>
      </c>
      <c r="D227" t="s" s="126">
        <v>3487</v>
      </c>
      <c r="E227" s="36"/>
      <c r="F227" s="36"/>
      <c r="G227" t="s" s="90">
        <v>3629</v>
      </c>
      <c r="H227" s="30"/>
      <c r="I227" s="6"/>
      <c r="J227" s="7"/>
    </row>
    <row r="228" ht="26.25" customHeight="1">
      <c r="A228" t="s" s="84">
        <v>3675</v>
      </c>
      <c r="B228" s="125"/>
      <c r="C228" s="125"/>
      <c r="D228" s="125"/>
      <c r="E228" s="125"/>
      <c r="F228" s="125"/>
      <c r="G228" s="125"/>
      <c r="H228" s="30"/>
      <c r="I228" s="6"/>
      <c r="J228" s="7"/>
    </row>
    <row r="229" ht="26.25" customHeight="1">
      <c r="A229" s="125"/>
      <c r="B229" s="125"/>
      <c r="C229" s="125"/>
      <c r="D229" s="125"/>
      <c r="E229" s="125"/>
      <c r="F229" s="125"/>
      <c r="G229" s="125"/>
      <c r="H229" s="30"/>
      <c r="I229" s="6"/>
      <c r="J229" s="7"/>
    </row>
    <row r="230" ht="22" customHeight="1">
      <c r="A230" t="s" s="126">
        <v>3480</v>
      </c>
      <c r="B230" t="s" s="126">
        <v>3676</v>
      </c>
      <c r="C230" t="s" s="126">
        <v>3482</v>
      </c>
      <c r="D230" t="s" s="126">
        <v>3483</v>
      </c>
      <c r="E230" t="s" s="126">
        <v>3484</v>
      </c>
      <c r="F230" t="s" s="126">
        <v>2963</v>
      </c>
      <c r="G230" t="s" s="128">
        <v>3485</v>
      </c>
      <c r="H230" s="30"/>
      <c r="I230" s="6"/>
      <c r="J230" s="7"/>
    </row>
    <row r="231" ht="22" customHeight="1">
      <c r="A231" t="s" s="94">
        <v>3677</v>
      </c>
      <c r="B231" t="s" s="126">
        <v>3487</v>
      </c>
      <c r="C231" t="s" s="126">
        <v>3487</v>
      </c>
      <c r="D231" t="s" s="126">
        <v>3487</v>
      </c>
      <c r="E231" s="36"/>
      <c r="F231" s="36"/>
      <c r="G231" t="s" s="90">
        <v>3678</v>
      </c>
      <c r="H231" s="30"/>
      <c r="I231" s="131" cm="1">
        <f t="array" ref="I231">285+100</f>
        <v>385</v>
      </c>
      <c r="J231" s="7"/>
    </row>
    <row r="232" ht="22" customHeight="1">
      <c r="A232" t="s" s="94">
        <v>3679</v>
      </c>
      <c r="B232" t="s" s="126">
        <v>3487</v>
      </c>
      <c r="C232" t="s" s="126">
        <v>3487</v>
      </c>
      <c r="D232" t="s" s="126">
        <v>3487</v>
      </c>
      <c r="E232" s="36"/>
      <c r="F232" s="36"/>
      <c r="G232" t="s" s="90">
        <v>3678</v>
      </c>
      <c r="H232" s="30"/>
      <c r="I232" s="6"/>
      <c r="J232" s="7"/>
    </row>
    <row r="233" ht="22" customHeight="1">
      <c r="A233" t="s" s="94">
        <v>3680</v>
      </c>
      <c r="B233" t="s" s="126">
        <v>3487</v>
      </c>
      <c r="C233" t="s" s="126">
        <v>3487</v>
      </c>
      <c r="D233" t="s" s="126">
        <v>3487</v>
      </c>
      <c r="E233" s="36"/>
      <c r="F233" s="36"/>
      <c r="G233" t="s" s="90">
        <v>3678</v>
      </c>
      <c r="H233" s="30"/>
      <c r="I233" s="6"/>
      <c r="J233" s="7"/>
    </row>
    <row r="234" ht="22" customHeight="1">
      <c r="A234" t="s" s="94">
        <v>3681</v>
      </c>
      <c r="B234" t="s" s="126">
        <v>3487</v>
      </c>
      <c r="C234" t="s" s="126">
        <v>3487</v>
      </c>
      <c r="D234" t="s" s="126">
        <v>3487</v>
      </c>
      <c r="E234" s="36"/>
      <c r="F234" s="36"/>
      <c r="G234" t="s" s="90">
        <v>3678</v>
      </c>
      <c r="H234" s="30"/>
      <c r="I234" s="6"/>
      <c r="J234" s="7"/>
    </row>
    <row r="235" ht="22" customHeight="1">
      <c r="A235" t="s" s="94">
        <v>3682</v>
      </c>
      <c r="B235" t="s" s="126">
        <v>3487</v>
      </c>
      <c r="C235" t="s" s="126">
        <v>3487</v>
      </c>
      <c r="D235" t="s" s="126">
        <v>3487</v>
      </c>
      <c r="E235" s="36"/>
      <c r="F235" s="36"/>
      <c r="G235" t="s" s="90">
        <v>3678</v>
      </c>
      <c r="H235" s="30"/>
      <c r="I235" s="6"/>
      <c r="J235" s="7"/>
    </row>
    <row r="236" ht="22" customHeight="1">
      <c r="A236" t="s" s="94">
        <v>3683</v>
      </c>
      <c r="B236" t="s" s="126">
        <v>3487</v>
      </c>
      <c r="C236" t="s" s="126">
        <v>3487</v>
      </c>
      <c r="D236" t="s" s="126">
        <v>3487</v>
      </c>
      <c r="E236" s="36"/>
      <c r="F236" s="36"/>
      <c r="G236" t="s" s="90">
        <v>3678</v>
      </c>
      <c r="H236" s="30"/>
      <c r="I236" s="6"/>
      <c r="J236" s="7"/>
    </row>
    <row r="237" ht="22" customHeight="1">
      <c r="A237" t="s" s="94">
        <v>3684</v>
      </c>
      <c r="B237" t="s" s="126">
        <v>3487</v>
      </c>
      <c r="C237" t="s" s="126">
        <v>3487</v>
      </c>
      <c r="D237" t="s" s="126">
        <v>3487</v>
      </c>
      <c r="E237" s="36"/>
      <c r="F237" s="36"/>
      <c r="G237" t="s" s="90">
        <v>3678</v>
      </c>
      <c r="H237" s="30"/>
      <c r="I237" s="6"/>
      <c r="J237" s="7"/>
    </row>
    <row r="238" ht="22" customHeight="1">
      <c r="A238" t="s" s="94">
        <v>3685</v>
      </c>
      <c r="B238" t="s" s="126">
        <v>3487</v>
      </c>
      <c r="C238" t="s" s="126">
        <v>3487</v>
      </c>
      <c r="D238" t="s" s="126">
        <v>3487</v>
      </c>
      <c r="E238" s="36"/>
      <c r="F238" s="36"/>
      <c r="G238" t="s" s="90">
        <v>3678</v>
      </c>
      <c r="H238" s="30"/>
      <c r="I238" s="6"/>
      <c r="J238" s="7"/>
    </row>
    <row r="239" ht="22" customHeight="1">
      <c r="A239" t="s" s="94">
        <v>3686</v>
      </c>
      <c r="B239" t="s" s="126">
        <v>3487</v>
      </c>
      <c r="C239" t="s" s="126">
        <v>3487</v>
      </c>
      <c r="D239" t="s" s="126">
        <v>3487</v>
      </c>
      <c r="E239" s="36"/>
      <c r="F239" s="36"/>
      <c r="G239" t="s" s="90">
        <v>3678</v>
      </c>
      <c r="H239" s="30"/>
      <c r="I239" s="6"/>
      <c r="J239" s="7"/>
    </row>
    <row r="240" ht="22" customHeight="1">
      <c r="A240" t="s" s="94">
        <v>3687</v>
      </c>
      <c r="B240" t="s" s="126">
        <v>3487</v>
      </c>
      <c r="C240" t="s" s="126">
        <v>3487</v>
      </c>
      <c r="D240" t="s" s="126">
        <v>3487</v>
      </c>
      <c r="E240" s="36"/>
      <c r="F240" s="36"/>
      <c r="G240" t="s" s="90">
        <v>3678</v>
      </c>
      <c r="H240" s="30"/>
      <c r="I240" s="6"/>
      <c r="J240" s="7"/>
    </row>
    <row r="241" ht="22" customHeight="1">
      <c r="A241" t="s" s="94">
        <v>3500</v>
      </c>
      <c r="B241" t="s" s="126">
        <v>3487</v>
      </c>
      <c r="C241" t="s" s="126">
        <v>3487</v>
      </c>
      <c r="D241" t="s" s="126">
        <v>3487</v>
      </c>
      <c r="E241" s="36"/>
      <c r="F241" s="36"/>
      <c r="G241" t="s" s="90">
        <v>3678</v>
      </c>
      <c r="H241" s="30"/>
      <c r="I241" s="6"/>
      <c r="J241" s="7"/>
    </row>
    <row r="242" ht="22" customHeight="1">
      <c r="A242" t="s" s="94">
        <v>3688</v>
      </c>
      <c r="B242" t="s" s="126">
        <v>3487</v>
      </c>
      <c r="C242" t="s" s="126">
        <v>3487</v>
      </c>
      <c r="D242" t="s" s="126">
        <v>3487</v>
      </c>
      <c r="E242" s="36"/>
      <c r="F242" s="36"/>
      <c r="G242" t="s" s="90">
        <v>3678</v>
      </c>
      <c r="H242" s="30"/>
      <c r="I242" s="6"/>
      <c r="J242" s="7"/>
    </row>
    <row r="243" ht="22" customHeight="1">
      <c r="A243" t="s" s="94">
        <v>3689</v>
      </c>
      <c r="B243" t="s" s="126">
        <v>3487</v>
      </c>
      <c r="C243" t="s" s="126">
        <v>3487</v>
      </c>
      <c r="D243" t="s" s="126">
        <v>3487</v>
      </c>
      <c r="E243" s="36"/>
      <c r="F243" s="36"/>
      <c r="G243" t="s" s="90">
        <v>3678</v>
      </c>
      <c r="H243" s="30"/>
      <c r="I243" s="6"/>
      <c r="J243" s="7"/>
    </row>
    <row r="244" ht="22" customHeight="1">
      <c r="A244" t="s" s="94">
        <v>3690</v>
      </c>
      <c r="B244" t="s" s="126">
        <v>3487</v>
      </c>
      <c r="C244" t="s" s="126">
        <v>3487</v>
      </c>
      <c r="D244" t="s" s="126">
        <v>3487</v>
      </c>
      <c r="E244" s="36"/>
      <c r="F244" s="36"/>
      <c r="G244" t="s" s="90">
        <v>3678</v>
      </c>
      <c r="H244" s="30"/>
      <c r="I244" s="6"/>
      <c r="J244" s="7"/>
    </row>
    <row r="245" ht="22" customHeight="1">
      <c r="A245" t="s" s="94">
        <v>3691</v>
      </c>
      <c r="B245" t="s" s="126">
        <v>3487</v>
      </c>
      <c r="C245" t="s" s="126">
        <v>3487</v>
      </c>
      <c r="D245" t="s" s="126">
        <v>3487</v>
      </c>
      <c r="E245" s="36"/>
      <c r="F245" s="36"/>
      <c r="G245" t="s" s="90">
        <v>3678</v>
      </c>
      <c r="H245" s="30"/>
      <c r="I245" s="6"/>
      <c r="J245" s="7"/>
    </row>
    <row r="246" ht="22" customHeight="1">
      <c r="A246" t="s" s="94">
        <v>3692</v>
      </c>
      <c r="B246" t="s" s="126">
        <v>3487</v>
      </c>
      <c r="C246" t="s" s="126">
        <v>3487</v>
      </c>
      <c r="D246" t="s" s="126">
        <v>3487</v>
      </c>
      <c r="E246" s="36"/>
      <c r="F246" s="36"/>
      <c r="G246" t="s" s="90">
        <v>3678</v>
      </c>
      <c r="H246" s="30"/>
      <c r="I246" s="6"/>
      <c r="J246" s="7"/>
    </row>
    <row r="247" ht="22" customHeight="1">
      <c r="A247" t="s" s="94">
        <v>3693</v>
      </c>
      <c r="B247" t="s" s="126">
        <v>3487</v>
      </c>
      <c r="C247" t="s" s="126">
        <v>3487</v>
      </c>
      <c r="D247" t="s" s="126">
        <v>3487</v>
      </c>
      <c r="E247" s="36"/>
      <c r="F247" s="36"/>
      <c r="G247" t="s" s="90">
        <v>3678</v>
      </c>
      <c r="H247" s="30"/>
      <c r="I247" s="6"/>
      <c r="J247" s="7"/>
    </row>
    <row r="248" ht="22" customHeight="1">
      <c r="A248" t="s" s="94">
        <v>3694</v>
      </c>
      <c r="B248" t="s" s="126">
        <v>3487</v>
      </c>
      <c r="C248" t="s" s="126">
        <v>3487</v>
      </c>
      <c r="D248" t="s" s="126">
        <v>3487</v>
      </c>
      <c r="E248" s="36"/>
      <c r="F248" s="36"/>
      <c r="G248" t="s" s="90">
        <v>3678</v>
      </c>
      <c r="H248" s="30"/>
      <c r="I248" s="6"/>
      <c r="J248" s="7"/>
    </row>
    <row r="249" ht="22" customHeight="1">
      <c r="A249" t="s" s="94">
        <v>3695</v>
      </c>
      <c r="B249" t="s" s="126">
        <v>3487</v>
      </c>
      <c r="C249" t="s" s="126">
        <v>3487</v>
      </c>
      <c r="D249" t="s" s="126">
        <v>3487</v>
      </c>
      <c r="E249" s="36"/>
      <c r="F249" s="36"/>
      <c r="G249" t="s" s="90">
        <v>3678</v>
      </c>
      <c r="H249" s="30"/>
      <c r="I249" s="6"/>
      <c r="J249" s="7"/>
    </row>
    <row r="250" ht="22" customHeight="1">
      <c r="A250" t="s" s="94">
        <v>3696</v>
      </c>
      <c r="B250" t="s" s="126">
        <v>3487</v>
      </c>
      <c r="C250" t="s" s="126">
        <v>3487</v>
      </c>
      <c r="D250" t="s" s="126">
        <v>3487</v>
      </c>
      <c r="E250" s="36"/>
      <c r="F250" s="36"/>
      <c r="G250" t="s" s="90">
        <v>3678</v>
      </c>
      <c r="H250" s="30"/>
      <c r="I250" s="6"/>
      <c r="J250" s="7"/>
    </row>
    <row r="251" ht="22" customHeight="1">
      <c r="A251" t="s" s="94">
        <v>3697</v>
      </c>
      <c r="B251" t="s" s="126">
        <v>3487</v>
      </c>
      <c r="C251" t="s" s="126">
        <v>3487</v>
      </c>
      <c r="D251" t="s" s="126">
        <v>3487</v>
      </c>
      <c r="E251" s="36"/>
      <c r="F251" s="36"/>
      <c r="G251" t="s" s="90">
        <v>3678</v>
      </c>
      <c r="H251" s="30"/>
      <c r="I251" s="6"/>
      <c r="J251" s="7"/>
    </row>
    <row r="252" ht="22" customHeight="1">
      <c r="A252" t="s" s="94">
        <v>3698</v>
      </c>
      <c r="B252" t="s" s="126">
        <v>3487</v>
      </c>
      <c r="C252" t="s" s="126">
        <v>3487</v>
      </c>
      <c r="D252" t="s" s="126">
        <v>3487</v>
      </c>
      <c r="E252" s="36"/>
      <c r="F252" s="36"/>
      <c r="G252" t="s" s="90">
        <v>3678</v>
      </c>
      <c r="H252" s="30"/>
      <c r="I252" s="6"/>
      <c r="J252" s="7"/>
    </row>
    <row r="253" ht="22" customHeight="1">
      <c r="A253" t="s" s="94">
        <v>3699</v>
      </c>
      <c r="B253" t="s" s="126">
        <v>3487</v>
      </c>
      <c r="C253" t="s" s="126">
        <v>3487</v>
      </c>
      <c r="D253" t="s" s="126">
        <v>3487</v>
      </c>
      <c r="E253" s="36"/>
      <c r="F253" s="36"/>
      <c r="G253" t="s" s="90">
        <v>3678</v>
      </c>
      <c r="H253" s="30"/>
      <c r="I253" s="6"/>
      <c r="J253" s="7"/>
    </row>
    <row r="254" ht="22" customHeight="1">
      <c r="A254" t="s" s="94">
        <v>3700</v>
      </c>
      <c r="B254" t="s" s="126">
        <v>3487</v>
      </c>
      <c r="C254" t="s" s="126">
        <v>3487</v>
      </c>
      <c r="D254" t="s" s="126">
        <v>3487</v>
      </c>
      <c r="E254" s="36"/>
      <c r="F254" s="36"/>
      <c r="G254" t="s" s="90">
        <v>3678</v>
      </c>
      <c r="H254" s="30"/>
      <c r="I254" s="6"/>
      <c r="J254" s="7"/>
    </row>
    <row r="255" ht="22" customHeight="1">
      <c r="A255" t="s" s="94">
        <v>3701</v>
      </c>
      <c r="B255" t="s" s="126">
        <v>3487</v>
      </c>
      <c r="C255" t="s" s="126">
        <v>3487</v>
      </c>
      <c r="D255" t="s" s="126">
        <v>3487</v>
      </c>
      <c r="E255" s="36"/>
      <c r="F255" s="36"/>
      <c r="G255" t="s" s="90">
        <v>3678</v>
      </c>
      <c r="H255" s="30"/>
      <c r="I255" s="6"/>
      <c r="J255" s="7"/>
    </row>
    <row r="256" ht="22" customHeight="1">
      <c r="A256" t="s" s="94">
        <v>3702</v>
      </c>
      <c r="B256" t="s" s="126">
        <v>3487</v>
      </c>
      <c r="C256" t="s" s="126">
        <v>3487</v>
      </c>
      <c r="D256" t="s" s="126">
        <v>3487</v>
      </c>
      <c r="E256" s="36"/>
      <c r="F256" s="36"/>
      <c r="G256" t="s" s="90">
        <v>3678</v>
      </c>
      <c r="H256" s="30"/>
      <c r="I256" s="6"/>
      <c r="J256" s="7"/>
    </row>
    <row r="257" ht="22" customHeight="1">
      <c r="A257" t="s" s="94">
        <v>3703</v>
      </c>
      <c r="B257" t="s" s="126">
        <v>3487</v>
      </c>
      <c r="C257" t="s" s="126">
        <v>3487</v>
      </c>
      <c r="D257" t="s" s="126">
        <v>3487</v>
      </c>
      <c r="E257" s="36"/>
      <c r="F257" s="36"/>
      <c r="G257" t="s" s="90">
        <v>3678</v>
      </c>
      <c r="H257" s="30"/>
      <c r="I257" s="6"/>
      <c r="J257" s="7"/>
    </row>
    <row r="258" ht="22" customHeight="1">
      <c r="A258" t="s" s="94">
        <v>3704</v>
      </c>
      <c r="B258" t="s" s="126">
        <v>3487</v>
      </c>
      <c r="C258" t="s" s="126">
        <v>3487</v>
      </c>
      <c r="D258" t="s" s="126">
        <v>3487</v>
      </c>
      <c r="E258" s="36"/>
      <c r="F258" s="36"/>
      <c r="G258" t="s" s="90">
        <v>3678</v>
      </c>
      <c r="H258" s="30"/>
      <c r="I258" s="6"/>
      <c r="J258" s="7"/>
    </row>
    <row r="259" ht="22" customHeight="1">
      <c r="A259" t="s" s="94">
        <v>3705</v>
      </c>
      <c r="B259" t="s" s="126">
        <v>3487</v>
      </c>
      <c r="C259" t="s" s="126">
        <v>3487</v>
      </c>
      <c r="D259" t="s" s="126">
        <v>3487</v>
      </c>
      <c r="E259" s="36"/>
      <c r="F259" s="36"/>
      <c r="G259" t="s" s="90">
        <v>3678</v>
      </c>
      <c r="H259" s="30"/>
      <c r="I259" s="6"/>
      <c r="J259" s="7"/>
    </row>
    <row r="260" ht="22" customHeight="1">
      <c r="A260" t="s" s="94">
        <v>3706</v>
      </c>
      <c r="B260" t="s" s="126">
        <v>3487</v>
      </c>
      <c r="C260" t="s" s="126">
        <v>3487</v>
      </c>
      <c r="D260" t="s" s="126">
        <v>3487</v>
      </c>
      <c r="E260" s="36"/>
      <c r="F260" s="36"/>
      <c r="G260" t="s" s="90">
        <v>3678</v>
      </c>
      <c r="H260" s="30"/>
      <c r="I260" s="6"/>
      <c r="J260" s="7"/>
    </row>
    <row r="261" ht="22" customHeight="1">
      <c r="A261" t="s" s="94">
        <v>3707</v>
      </c>
      <c r="B261" t="s" s="126">
        <v>3487</v>
      </c>
      <c r="C261" t="s" s="126">
        <v>3487</v>
      </c>
      <c r="D261" t="s" s="126">
        <v>3487</v>
      </c>
      <c r="E261" s="36"/>
      <c r="F261" s="36"/>
      <c r="G261" t="s" s="90">
        <v>3678</v>
      </c>
      <c r="H261" s="30"/>
      <c r="I261" s="6"/>
      <c r="J261" s="7"/>
    </row>
    <row r="262" ht="22" customHeight="1">
      <c r="A262" t="s" s="94">
        <v>3708</v>
      </c>
      <c r="B262" t="s" s="126">
        <v>3487</v>
      </c>
      <c r="C262" t="s" s="126">
        <v>3487</v>
      </c>
      <c r="D262" t="s" s="126">
        <v>3487</v>
      </c>
      <c r="E262" s="36"/>
      <c r="F262" s="36"/>
      <c r="G262" t="s" s="90">
        <v>3678</v>
      </c>
      <c r="H262" s="30"/>
      <c r="I262" s="6"/>
      <c r="J262" s="7"/>
    </row>
    <row r="263" ht="22" customHeight="1">
      <c r="A263" t="s" s="94">
        <v>3709</v>
      </c>
      <c r="B263" t="s" s="126">
        <v>3487</v>
      </c>
      <c r="C263" t="s" s="126">
        <v>3487</v>
      </c>
      <c r="D263" t="s" s="126">
        <v>3487</v>
      </c>
      <c r="E263" s="36"/>
      <c r="F263" s="36"/>
      <c r="G263" t="s" s="90">
        <v>3678</v>
      </c>
      <c r="H263" s="30"/>
      <c r="I263" s="6"/>
      <c r="J263" s="7"/>
    </row>
    <row r="264" ht="22" customHeight="1">
      <c r="A264" t="s" s="94">
        <v>3710</v>
      </c>
      <c r="B264" t="s" s="126">
        <v>3487</v>
      </c>
      <c r="C264" t="s" s="126">
        <v>3487</v>
      </c>
      <c r="D264" t="s" s="126">
        <v>3487</v>
      </c>
      <c r="E264" s="36"/>
      <c r="F264" s="36"/>
      <c r="G264" t="s" s="90">
        <v>3678</v>
      </c>
      <c r="H264" s="30"/>
      <c r="I264" s="6"/>
      <c r="J264" s="7"/>
    </row>
    <row r="265" ht="22" customHeight="1">
      <c r="A265" t="s" s="94">
        <v>3711</v>
      </c>
      <c r="B265" t="s" s="126">
        <v>3487</v>
      </c>
      <c r="C265" t="s" s="126">
        <v>3487</v>
      </c>
      <c r="D265" t="s" s="126">
        <v>3487</v>
      </c>
      <c r="E265" s="36"/>
      <c r="F265" s="36"/>
      <c r="G265" t="s" s="90">
        <v>3678</v>
      </c>
      <c r="H265" s="30"/>
      <c r="I265" s="6"/>
      <c r="J265" s="7"/>
    </row>
    <row r="266" ht="22" customHeight="1">
      <c r="A266" t="s" s="94">
        <v>3712</v>
      </c>
      <c r="B266" t="s" s="126">
        <v>3487</v>
      </c>
      <c r="C266" t="s" s="126">
        <v>3487</v>
      </c>
      <c r="D266" t="s" s="126">
        <v>3487</v>
      </c>
      <c r="E266" s="36"/>
      <c r="F266" s="36"/>
      <c r="G266" t="s" s="90">
        <v>3678</v>
      </c>
      <c r="H266" s="30"/>
      <c r="I266" s="6"/>
      <c r="J266" s="7"/>
    </row>
    <row r="267" ht="22" customHeight="1">
      <c r="A267" t="s" s="94">
        <v>3713</v>
      </c>
      <c r="B267" t="s" s="126">
        <v>3487</v>
      </c>
      <c r="C267" t="s" s="126">
        <v>3487</v>
      </c>
      <c r="D267" t="s" s="126">
        <v>3487</v>
      </c>
      <c r="E267" s="36"/>
      <c r="F267" s="36"/>
      <c r="G267" t="s" s="90">
        <v>3678</v>
      </c>
      <c r="H267" s="30"/>
      <c r="I267" s="6"/>
      <c r="J267" s="7"/>
    </row>
    <row r="268" ht="22" customHeight="1">
      <c r="A268" t="s" s="94">
        <v>3714</v>
      </c>
      <c r="B268" t="s" s="126">
        <v>3487</v>
      </c>
      <c r="C268" t="s" s="126">
        <v>3487</v>
      </c>
      <c r="D268" t="s" s="126">
        <v>3487</v>
      </c>
      <c r="E268" s="36"/>
      <c r="F268" s="36"/>
      <c r="G268" t="s" s="90">
        <v>3678</v>
      </c>
      <c r="H268" s="30"/>
      <c r="I268" s="6"/>
      <c r="J268" s="7"/>
    </row>
    <row r="269" ht="22" customHeight="1">
      <c r="A269" t="s" s="94">
        <v>3715</v>
      </c>
      <c r="B269" t="s" s="126">
        <v>3487</v>
      </c>
      <c r="C269" t="s" s="126">
        <v>3487</v>
      </c>
      <c r="D269" t="s" s="126">
        <v>3487</v>
      </c>
      <c r="E269" s="36"/>
      <c r="F269" s="36"/>
      <c r="G269" t="s" s="90">
        <v>3678</v>
      </c>
      <c r="H269" s="30"/>
      <c r="I269" s="6"/>
      <c r="J269" s="7"/>
    </row>
    <row r="270" ht="22" customHeight="1">
      <c r="A270" t="s" s="94">
        <v>3716</v>
      </c>
      <c r="B270" t="s" s="126">
        <v>3487</v>
      </c>
      <c r="C270" t="s" s="126">
        <v>3487</v>
      </c>
      <c r="D270" t="s" s="126">
        <v>3487</v>
      </c>
      <c r="E270" s="36"/>
      <c r="F270" s="36"/>
      <c r="G270" t="s" s="90">
        <v>3678</v>
      </c>
      <c r="H270" s="30"/>
      <c r="I270" s="6"/>
      <c r="J270" s="7"/>
    </row>
    <row r="271" ht="22" customHeight="1">
      <c r="A271" t="s" s="94">
        <v>3717</v>
      </c>
      <c r="B271" t="s" s="126">
        <v>3487</v>
      </c>
      <c r="C271" t="s" s="126">
        <v>3487</v>
      </c>
      <c r="D271" t="s" s="126">
        <v>3487</v>
      </c>
      <c r="E271" s="36"/>
      <c r="F271" s="36"/>
      <c r="G271" t="s" s="90">
        <v>3678</v>
      </c>
      <c r="H271" s="30"/>
      <c r="I271" s="6"/>
      <c r="J271" s="7"/>
    </row>
    <row r="272" ht="22" customHeight="1">
      <c r="A272" t="s" s="94">
        <v>3718</v>
      </c>
      <c r="B272" t="s" s="126">
        <v>3487</v>
      </c>
      <c r="C272" t="s" s="126">
        <v>3487</v>
      </c>
      <c r="D272" t="s" s="126">
        <v>3487</v>
      </c>
      <c r="E272" s="36"/>
      <c r="F272" s="36"/>
      <c r="G272" t="s" s="90">
        <v>3678</v>
      </c>
      <c r="H272" s="30"/>
      <c r="I272" s="6"/>
      <c r="J272" s="7"/>
    </row>
    <row r="273" ht="22" customHeight="1">
      <c r="A273" t="s" s="94">
        <v>3719</v>
      </c>
      <c r="B273" t="s" s="126">
        <v>3487</v>
      </c>
      <c r="C273" t="s" s="126">
        <v>3487</v>
      </c>
      <c r="D273" t="s" s="126">
        <v>3487</v>
      </c>
      <c r="E273" s="36"/>
      <c r="F273" s="36"/>
      <c r="G273" t="s" s="90">
        <v>3678</v>
      </c>
      <c r="H273" s="30"/>
      <c r="I273" s="6"/>
      <c r="J273" s="7"/>
    </row>
    <row r="274" ht="22" customHeight="1">
      <c r="A274" t="s" s="94">
        <v>3720</v>
      </c>
      <c r="B274" t="s" s="126">
        <v>3487</v>
      </c>
      <c r="C274" t="s" s="126">
        <v>3487</v>
      </c>
      <c r="D274" t="s" s="126">
        <v>3487</v>
      </c>
      <c r="E274" s="36"/>
      <c r="F274" s="36"/>
      <c r="G274" t="s" s="90">
        <v>3678</v>
      </c>
      <c r="H274" s="30"/>
      <c r="I274" s="6"/>
      <c r="J274" s="7"/>
    </row>
    <row r="275" ht="22" customHeight="1">
      <c r="A275" t="s" s="94">
        <v>3721</v>
      </c>
      <c r="B275" t="s" s="126">
        <v>3487</v>
      </c>
      <c r="C275" t="s" s="126">
        <v>3487</v>
      </c>
      <c r="D275" t="s" s="126">
        <v>3487</v>
      </c>
      <c r="E275" s="36"/>
      <c r="F275" s="36"/>
      <c r="G275" t="s" s="90">
        <v>3678</v>
      </c>
      <c r="H275" s="30"/>
      <c r="I275" s="6"/>
      <c r="J275" s="7"/>
    </row>
    <row r="276" ht="22" customHeight="1">
      <c r="A276" t="s" s="94">
        <v>3722</v>
      </c>
      <c r="B276" t="s" s="126">
        <v>3487</v>
      </c>
      <c r="C276" t="s" s="126">
        <v>3487</v>
      </c>
      <c r="D276" t="s" s="126">
        <v>3487</v>
      </c>
      <c r="E276" s="36"/>
      <c r="F276" s="36"/>
      <c r="G276" t="s" s="90">
        <v>3678</v>
      </c>
      <c r="H276" s="30"/>
      <c r="I276" s="6"/>
      <c r="J276" s="7"/>
    </row>
    <row r="277" ht="22" customHeight="1">
      <c r="A277" t="s" s="94">
        <v>3723</v>
      </c>
      <c r="B277" t="s" s="126">
        <v>3487</v>
      </c>
      <c r="C277" t="s" s="126">
        <v>3487</v>
      </c>
      <c r="D277" t="s" s="126">
        <v>3487</v>
      </c>
      <c r="E277" s="36"/>
      <c r="F277" s="36"/>
      <c r="G277" t="s" s="90">
        <v>3678</v>
      </c>
      <c r="H277" s="30"/>
      <c r="I277" s="6"/>
      <c r="J277" s="7"/>
    </row>
    <row r="278" ht="22" customHeight="1">
      <c r="A278" t="s" s="94">
        <v>3724</v>
      </c>
      <c r="B278" t="s" s="126">
        <v>3487</v>
      </c>
      <c r="C278" t="s" s="126">
        <v>3487</v>
      </c>
      <c r="D278" t="s" s="126">
        <v>3487</v>
      </c>
      <c r="E278" s="36"/>
      <c r="F278" s="36"/>
      <c r="G278" t="s" s="90">
        <v>3678</v>
      </c>
      <c r="H278" s="30"/>
      <c r="I278" s="6"/>
      <c r="J278" s="7"/>
    </row>
    <row r="279" ht="22" customHeight="1">
      <c r="A279" t="s" s="94">
        <v>3725</v>
      </c>
      <c r="B279" t="s" s="126">
        <v>3487</v>
      </c>
      <c r="C279" t="s" s="126">
        <v>3487</v>
      </c>
      <c r="D279" t="s" s="126">
        <v>3487</v>
      </c>
      <c r="E279" s="36"/>
      <c r="F279" s="36"/>
      <c r="G279" t="s" s="90">
        <v>3678</v>
      </c>
      <c r="H279" s="30"/>
      <c r="I279" s="6"/>
      <c r="J279" s="7"/>
    </row>
    <row r="280" ht="22" customHeight="1">
      <c r="A280" t="s" s="94">
        <v>3726</v>
      </c>
      <c r="B280" t="s" s="126">
        <v>3487</v>
      </c>
      <c r="C280" t="s" s="126">
        <v>3487</v>
      </c>
      <c r="D280" t="s" s="126">
        <v>3487</v>
      </c>
      <c r="E280" s="36"/>
      <c r="F280" s="36"/>
      <c r="G280" t="s" s="90">
        <v>3678</v>
      </c>
      <c r="H280" s="30"/>
      <c r="I280" s="6"/>
      <c r="J280" s="7"/>
    </row>
    <row r="281" ht="22" customHeight="1">
      <c r="A281" t="s" s="94">
        <v>3727</v>
      </c>
      <c r="B281" t="s" s="126">
        <v>3487</v>
      </c>
      <c r="C281" t="s" s="126">
        <v>3487</v>
      </c>
      <c r="D281" t="s" s="126">
        <v>3487</v>
      </c>
      <c r="E281" s="36"/>
      <c r="F281" s="36"/>
      <c r="G281" t="s" s="90">
        <v>3678</v>
      </c>
      <c r="H281" s="132" cm="1">
        <f t="array" ref="H281">231-281</f>
        <v>-50</v>
      </c>
      <c r="I281" s="6"/>
      <c r="J281" s="7"/>
    </row>
    <row r="282" ht="26.25" customHeight="1">
      <c r="A282" t="s" s="84">
        <v>3728</v>
      </c>
      <c r="B282" s="125"/>
      <c r="C282" s="125"/>
      <c r="D282" s="125"/>
      <c r="E282" s="125"/>
      <c r="F282" s="125"/>
      <c r="G282" s="125"/>
      <c r="H282" s="30"/>
      <c r="I282" s="6"/>
      <c r="J282" s="7"/>
    </row>
    <row r="283" ht="26.25" customHeight="1">
      <c r="A283" s="125"/>
      <c r="B283" s="125"/>
      <c r="C283" s="125"/>
      <c r="D283" s="125"/>
      <c r="E283" s="125"/>
      <c r="F283" s="125"/>
      <c r="G283" s="125"/>
      <c r="H283" s="30"/>
      <c r="I283" s="6"/>
      <c r="J283" s="7"/>
    </row>
    <row r="284" ht="22" customHeight="1">
      <c r="A284" t="s" s="126">
        <v>3480</v>
      </c>
      <c r="B284" t="s" s="126">
        <v>3676</v>
      </c>
      <c r="C284" t="s" s="126">
        <v>3482</v>
      </c>
      <c r="D284" t="s" s="126">
        <v>3483</v>
      </c>
      <c r="E284" t="s" s="126">
        <v>3729</v>
      </c>
      <c r="F284" t="s" s="126">
        <v>2963</v>
      </c>
      <c r="G284" t="s" s="90">
        <v>3485</v>
      </c>
      <c r="H284" s="30"/>
      <c r="I284" s="6"/>
      <c r="J284" s="7"/>
    </row>
    <row r="285" ht="22" customHeight="1">
      <c r="A285" t="s" s="94">
        <v>3730</v>
      </c>
      <c r="B285" t="s" s="126">
        <v>3487</v>
      </c>
      <c r="C285" t="s" s="126">
        <v>3487</v>
      </c>
      <c r="D285" t="s" s="126">
        <v>3487</v>
      </c>
      <c r="E285" s="36"/>
      <c r="F285" s="36"/>
      <c r="G285" t="s" s="90">
        <v>3731</v>
      </c>
      <c r="H285" s="30"/>
      <c r="I285" s="6"/>
      <c r="J285" s="7"/>
    </row>
    <row r="286" ht="22" customHeight="1">
      <c r="A286" t="s" s="94">
        <v>3732</v>
      </c>
      <c r="B286" t="s" s="126">
        <v>3487</v>
      </c>
      <c r="C286" t="s" s="126">
        <v>3487</v>
      </c>
      <c r="D286" t="s" s="126">
        <v>3487</v>
      </c>
      <c r="E286" s="36"/>
      <c r="F286" s="36"/>
      <c r="G286" t="s" s="90">
        <v>3731</v>
      </c>
      <c r="H286" s="30"/>
      <c r="I286" s="6"/>
      <c r="J286" s="7"/>
    </row>
    <row r="287" ht="22" customHeight="1">
      <c r="A287" t="s" s="94">
        <v>3733</v>
      </c>
      <c r="B287" t="s" s="126">
        <v>3487</v>
      </c>
      <c r="C287" t="s" s="126">
        <v>3487</v>
      </c>
      <c r="D287" t="s" s="126">
        <v>3487</v>
      </c>
      <c r="E287" s="36"/>
      <c r="F287" s="36"/>
      <c r="G287" t="s" s="90">
        <v>3731</v>
      </c>
      <c r="H287" s="30"/>
      <c r="I287" s="6"/>
      <c r="J287" s="7"/>
    </row>
    <row r="288" ht="22" customHeight="1">
      <c r="A288" t="s" s="94">
        <v>3734</v>
      </c>
      <c r="B288" t="s" s="126">
        <v>3487</v>
      </c>
      <c r="C288" t="s" s="126">
        <v>3487</v>
      </c>
      <c r="D288" t="s" s="126">
        <v>3487</v>
      </c>
      <c r="E288" s="36"/>
      <c r="F288" s="36"/>
      <c r="G288" t="s" s="90">
        <v>3731</v>
      </c>
      <c r="H288" s="30"/>
      <c r="I288" s="6"/>
      <c r="J288" s="7"/>
    </row>
    <row r="289" ht="22" customHeight="1">
      <c r="A289" t="s" s="94">
        <v>3735</v>
      </c>
      <c r="B289" t="s" s="126">
        <v>3487</v>
      </c>
      <c r="C289" t="s" s="126">
        <v>3487</v>
      </c>
      <c r="D289" t="s" s="126">
        <v>3487</v>
      </c>
      <c r="E289" s="36"/>
      <c r="F289" s="36"/>
      <c r="G289" t="s" s="90">
        <v>3731</v>
      </c>
      <c r="H289" s="30"/>
      <c r="I289" s="6"/>
      <c r="J289" s="7"/>
    </row>
    <row r="290" ht="22" customHeight="1">
      <c r="A290" t="s" s="94">
        <v>3736</v>
      </c>
      <c r="B290" t="s" s="126">
        <v>3487</v>
      </c>
      <c r="C290" t="s" s="126">
        <v>3487</v>
      </c>
      <c r="D290" t="s" s="126">
        <v>3487</v>
      </c>
      <c r="E290" s="36"/>
      <c r="F290" s="36"/>
      <c r="G290" t="s" s="90">
        <v>3731</v>
      </c>
      <c r="H290" s="30"/>
      <c r="I290" s="6"/>
      <c r="J290" s="7"/>
    </row>
    <row r="291" ht="22" customHeight="1">
      <c r="A291" t="s" s="94">
        <v>3737</v>
      </c>
      <c r="B291" t="s" s="126">
        <v>3487</v>
      </c>
      <c r="C291" t="s" s="126">
        <v>3487</v>
      </c>
      <c r="D291" t="s" s="126">
        <v>3487</v>
      </c>
      <c r="E291" s="36"/>
      <c r="F291" s="36"/>
      <c r="G291" t="s" s="90">
        <v>3731</v>
      </c>
      <c r="H291" s="30"/>
      <c r="I291" s="6"/>
      <c r="J291" s="7"/>
    </row>
    <row r="292" ht="22" customHeight="1">
      <c r="A292" t="s" s="94">
        <v>3738</v>
      </c>
      <c r="B292" t="s" s="126">
        <v>3487</v>
      </c>
      <c r="C292" t="s" s="126">
        <v>3487</v>
      </c>
      <c r="D292" t="s" s="126">
        <v>3487</v>
      </c>
      <c r="E292" s="36"/>
      <c r="F292" s="36"/>
      <c r="G292" t="s" s="90">
        <v>3731</v>
      </c>
      <c r="H292" s="30"/>
      <c r="I292" s="6"/>
      <c r="J292" s="7"/>
    </row>
    <row r="293" ht="22" customHeight="1">
      <c r="A293" t="s" s="94">
        <v>3739</v>
      </c>
      <c r="B293" t="s" s="126">
        <v>3487</v>
      </c>
      <c r="C293" t="s" s="126">
        <v>3487</v>
      </c>
      <c r="D293" t="s" s="126">
        <v>3487</v>
      </c>
      <c r="E293" s="36"/>
      <c r="F293" s="36"/>
      <c r="G293" t="s" s="90">
        <v>3731</v>
      </c>
      <c r="H293" s="30"/>
      <c r="I293" s="6"/>
      <c r="J293" s="7"/>
    </row>
    <row r="294" ht="22" customHeight="1">
      <c r="A294" t="s" s="94">
        <v>3740</v>
      </c>
      <c r="B294" t="s" s="126">
        <v>3487</v>
      </c>
      <c r="C294" t="s" s="126">
        <v>3487</v>
      </c>
      <c r="D294" t="s" s="126">
        <v>3487</v>
      </c>
      <c r="E294" s="36"/>
      <c r="F294" s="36"/>
      <c r="G294" t="s" s="90">
        <v>3731</v>
      </c>
      <c r="H294" s="30"/>
      <c r="I294" s="6"/>
      <c r="J294" s="7"/>
    </row>
    <row r="295" ht="22" customHeight="1">
      <c r="A295" t="s" s="94">
        <v>3741</v>
      </c>
      <c r="B295" t="s" s="126">
        <v>3487</v>
      </c>
      <c r="C295" t="s" s="126">
        <v>3487</v>
      </c>
      <c r="D295" t="s" s="126">
        <v>3487</v>
      </c>
      <c r="E295" s="36"/>
      <c r="F295" s="36"/>
      <c r="G295" t="s" s="90">
        <v>3731</v>
      </c>
      <c r="H295" s="30"/>
      <c r="I295" s="6"/>
      <c r="J295" s="7"/>
    </row>
    <row r="296" ht="22" customHeight="1">
      <c r="A296" t="s" s="94">
        <v>3742</v>
      </c>
      <c r="B296" t="s" s="126">
        <v>3487</v>
      </c>
      <c r="C296" t="s" s="126">
        <v>3487</v>
      </c>
      <c r="D296" t="s" s="126">
        <v>3487</v>
      </c>
      <c r="E296" s="36"/>
      <c r="F296" s="36"/>
      <c r="G296" t="s" s="90">
        <v>3731</v>
      </c>
      <c r="H296" s="30"/>
      <c r="I296" s="6"/>
      <c r="J296" s="7"/>
    </row>
    <row r="297" ht="22" customHeight="1">
      <c r="A297" t="s" s="94">
        <v>3743</v>
      </c>
      <c r="B297" t="s" s="126">
        <v>3487</v>
      </c>
      <c r="C297" t="s" s="126">
        <v>3487</v>
      </c>
      <c r="D297" t="s" s="126">
        <v>3487</v>
      </c>
      <c r="E297" s="36"/>
      <c r="F297" s="36"/>
      <c r="G297" t="s" s="90">
        <v>3731</v>
      </c>
      <c r="H297" s="30"/>
      <c r="I297" s="6"/>
      <c r="J297" s="7"/>
    </row>
    <row r="298" ht="22" customHeight="1">
      <c r="A298" t="s" s="94">
        <v>3744</v>
      </c>
      <c r="B298" t="s" s="126">
        <v>3487</v>
      </c>
      <c r="C298" t="s" s="126">
        <v>3487</v>
      </c>
      <c r="D298" t="s" s="126">
        <v>3487</v>
      </c>
      <c r="E298" s="36"/>
      <c r="F298" s="36"/>
      <c r="G298" t="s" s="90">
        <v>3731</v>
      </c>
      <c r="H298" s="30"/>
      <c r="I298" s="6"/>
      <c r="J298" s="7"/>
    </row>
    <row r="299" ht="22" customHeight="1">
      <c r="A299" t="s" s="94">
        <v>3745</v>
      </c>
      <c r="B299" t="s" s="126">
        <v>3487</v>
      </c>
      <c r="C299" t="s" s="126">
        <v>3487</v>
      </c>
      <c r="D299" t="s" s="126">
        <v>3487</v>
      </c>
      <c r="E299" s="36"/>
      <c r="F299" s="36"/>
      <c r="G299" t="s" s="90">
        <v>3731</v>
      </c>
      <c r="H299" s="30"/>
      <c r="I299" s="6"/>
      <c r="J299" s="7"/>
    </row>
    <row r="300" ht="22" customHeight="1">
      <c r="A300" t="s" s="94">
        <v>3746</v>
      </c>
      <c r="B300" t="s" s="126">
        <v>3487</v>
      </c>
      <c r="C300" t="s" s="126">
        <v>3487</v>
      </c>
      <c r="D300" t="s" s="126">
        <v>3487</v>
      </c>
      <c r="E300" s="36"/>
      <c r="F300" s="36"/>
      <c r="G300" t="s" s="90">
        <v>3731</v>
      </c>
      <c r="H300" s="30"/>
      <c r="I300" s="6"/>
      <c r="J300" s="7"/>
    </row>
    <row r="301" ht="22" customHeight="1">
      <c r="A301" t="s" s="94">
        <v>3747</v>
      </c>
      <c r="B301" t="s" s="126">
        <v>3487</v>
      </c>
      <c r="C301" t="s" s="126">
        <v>3487</v>
      </c>
      <c r="D301" t="s" s="126">
        <v>3487</v>
      </c>
      <c r="E301" s="36"/>
      <c r="F301" s="36"/>
      <c r="G301" t="s" s="90">
        <v>3731</v>
      </c>
      <c r="H301" s="30"/>
      <c r="I301" s="6"/>
      <c r="J301" s="7"/>
    </row>
    <row r="302" ht="22" customHeight="1">
      <c r="A302" t="s" s="94">
        <v>3748</v>
      </c>
      <c r="B302" t="s" s="126">
        <v>3487</v>
      </c>
      <c r="C302" t="s" s="126">
        <v>3487</v>
      </c>
      <c r="D302" t="s" s="126">
        <v>3487</v>
      </c>
      <c r="E302" s="36"/>
      <c r="F302" s="36"/>
      <c r="G302" t="s" s="90">
        <v>3731</v>
      </c>
      <c r="H302" s="30"/>
      <c r="I302" s="6"/>
      <c r="J302" s="7"/>
    </row>
    <row r="303" ht="22" customHeight="1">
      <c r="A303" t="s" s="94">
        <v>3749</v>
      </c>
      <c r="B303" t="s" s="126">
        <v>3487</v>
      </c>
      <c r="C303" t="s" s="126">
        <v>3487</v>
      </c>
      <c r="D303" t="s" s="126">
        <v>3487</v>
      </c>
      <c r="E303" s="36"/>
      <c r="F303" s="36"/>
      <c r="G303" t="s" s="90">
        <v>3731</v>
      </c>
      <c r="H303" s="30"/>
      <c r="I303" s="6"/>
      <c r="J303" s="7"/>
    </row>
    <row r="304" ht="22" customHeight="1">
      <c r="A304" t="s" s="94">
        <v>3585</v>
      </c>
      <c r="B304" t="s" s="126">
        <v>3487</v>
      </c>
      <c r="C304" t="s" s="126">
        <v>3487</v>
      </c>
      <c r="D304" t="s" s="126">
        <v>3487</v>
      </c>
      <c r="E304" s="36"/>
      <c r="F304" s="36"/>
      <c r="G304" t="s" s="90">
        <v>3731</v>
      </c>
      <c r="H304" s="30"/>
      <c r="I304" s="6"/>
      <c r="J304" s="7"/>
    </row>
    <row r="305" ht="22" customHeight="1">
      <c r="A305" t="s" s="94">
        <v>3750</v>
      </c>
      <c r="B305" t="s" s="126">
        <v>3487</v>
      </c>
      <c r="C305" t="s" s="126">
        <v>3487</v>
      </c>
      <c r="D305" t="s" s="126">
        <v>3487</v>
      </c>
      <c r="E305" s="36"/>
      <c r="F305" s="36"/>
      <c r="G305" t="s" s="90">
        <v>3731</v>
      </c>
      <c r="H305" s="30"/>
      <c r="I305" s="6"/>
      <c r="J305" s="7"/>
    </row>
    <row r="306" ht="22" customHeight="1">
      <c r="A306" t="s" s="94">
        <v>3751</v>
      </c>
      <c r="B306" t="s" s="126">
        <v>3487</v>
      </c>
      <c r="C306" t="s" s="126">
        <v>3487</v>
      </c>
      <c r="D306" t="s" s="126">
        <v>3487</v>
      </c>
      <c r="E306" s="36"/>
      <c r="F306" s="36"/>
      <c r="G306" t="s" s="90">
        <v>3731</v>
      </c>
      <c r="H306" s="30"/>
      <c r="I306" s="6"/>
      <c r="J306" s="7"/>
    </row>
    <row r="307" ht="22" customHeight="1">
      <c r="A307" t="s" s="94">
        <v>3752</v>
      </c>
      <c r="B307" t="s" s="126">
        <v>3487</v>
      </c>
      <c r="C307" t="s" s="126">
        <v>3487</v>
      </c>
      <c r="D307" t="s" s="126">
        <v>3487</v>
      </c>
      <c r="E307" s="36"/>
      <c r="F307" s="36"/>
      <c r="G307" t="s" s="90">
        <v>3731</v>
      </c>
      <c r="H307" s="30"/>
      <c r="I307" s="6"/>
      <c r="J307" s="7"/>
    </row>
    <row r="308" ht="22" customHeight="1">
      <c r="A308" t="s" s="94">
        <v>3753</v>
      </c>
      <c r="B308" t="s" s="126">
        <v>3487</v>
      </c>
      <c r="C308" t="s" s="126">
        <v>3487</v>
      </c>
      <c r="D308" t="s" s="126">
        <v>3487</v>
      </c>
      <c r="E308" s="36"/>
      <c r="F308" s="36"/>
      <c r="G308" t="s" s="90">
        <v>3731</v>
      </c>
      <c r="H308" s="30"/>
      <c r="I308" s="6"/>
      <c r="J308" s="7"/>
    </row>
    <row r="309" ht="22" customHeight="1">
      <c r="A309" t="s" s="94">
        <v>3754</v>
      </c>
      <c r="B309" t="s" s="126">
        <v>3487</v>
      </c>
      <c r="C309" t="s" s="126">
        <v>3487</v>
      </c>
      <c r="D309" t="s" s="126">
        <v>3487</v>
      </c>
      <c r="E309" s="36"/>
      <c r="F309" s="36"/>
      <c r="G309" t="s" s="90">
        <v>3731</v>
      </c>
      <c r="H309" s="30"/>
      <c r="I309" s="6"/>
      <c r="J309" s="7"/>
    </row>
    <row r="310" ht="22" customHeight="1">
      <c r="A310" t="s" s="94">
        <v>3755</v>
      </c>
      <c r="B310" t="s" s="126">
        <v>3487</v>
      </c>
      <c r="C310" t="s" s="126">
        <v>3487</v>
      </c>
      <c r="D310" t="s" s="126">
        <v>3487</v>
      </c>
      <c r="E310" s="36"/>
      <c r="F310" s="36"/>
      <c r="G310" t="s" s="90">
        <v>3731</v>
      </c>
      <c r="H310" s="30"/>
      <c r="I310" s="6"/>
      <c r="J310" s="7"/>
    </row>
    <row r="311" ht="22" customHeight="1">
      <c r="A311" t="s" s="94">
        <v>3756</v>
      </c>
      <c r="B311" t="s" s="126">
        <v>3487</v>
      </c>
      <c r="C311" t="s" s="126">
        <v>3487</v>
      </c>
      <c r="D311" t="s" s="126">
        <v>3487</v>
      </c>
      <c r="E311" s="36"/>
      <c r="F311" s="36"/>
      <c r="G311" t="s" s="90">
        <v>3731</v>
      </c>
      <c r="H311" s="30"/>
      <c r="I311" s="6"/>
      <c r="J311" s="7"/>
    </row>
    <row r="312" ht="22" customHeight="1">
      <c r="A312" t="s" s="94">
        <v>3757</v>
      </c>
      <c r="B312" t="s" s="126">
        <v>3487</v>
      </c>
      <c r="C312" t="s" s="126">
        <v>3487</v>
      </c>
      <c r="D312" t="s" s="126">
        <v>3487</v>
      </c>
      <c r="E312" s="36"/>
      <c r="F312" s="36"/>
      <c r="G312" t="s" s="90">
        <v>3731</v>
      </c>
      <c r="H312" s="30"/>
      <c r="I312" s="6"/>
      <c r="J312" s="7"/>
    </row>
    <row r="313" ht="22" customHeight="1">
      <c r="A313" t="s" s="94">
        <v>3758</v>
      </c>
      <c r="B313" t="s" s="126">
        <v>3487</v>
      </c>
      <c r="C313" t="s" s="126">
        <v>3487</v>
      </c>
      <c r="D313" t="s" s="126">
        <v>3487</v>
      </c>
      <c r="E313" s="36"/>
      <c r="F313" s="36"/>
      <c r="G313" t="s" s="90">
        <v>3731</v>
      </c>
      <c r="H313" s="30"/>
      <c r="I313" s="6"/>
      <c r="J313" s="7"/>
    </row>
    <row r="314" ht="22" customHeight="1">
      <c r="A314" t="s" s="94">
        <v>3608</v>
      </c>
      <c r="B314" t="s" s="126">
        <v>3487</v>
      </c>
      <c r="C314" t="s" s="126">
        <v>3487</v>
      </c>
      <c r="D314" t="s" s="126">
        <v>3487</v>
      </c>
      <c r="E314" s="36"/>
      <c r="F314" s="36"/>
      <c r="G314" t="s" s="90">
        <v>3731</v>
      </c>
      <c r="H314" s="30"/>
      <c r="I314" s="6"/>
      <c r="J314" s="7"/>
    </row>
    <row r="315" ht="22" customHeight="1">
      <c r="A315" t="s" s="94">
        <v>3759</v>
      </c>
      <c r="B315" t="s" s="126">
        <v>3487</v>
      </c>
      <c r="C315" t="s" s="126">
        <v>3487</v>
      </c>
      <c r="D315" t="s" s="126">
        <v>3487</v>
      </c>
      <c r="E315" s="36"/>
      <c r="F315" s="36"/>
      <c r="G315" t="s" s="90">
        <v>3731</v>
      </c>
      <c r="H315" s="30"/>
      <c r="I315" s="6"/>
      <c r="J315" s="7"/>
    </row>
    <row r="316" ht="22" customHeight="1">
      <c r="A316" t="s" s="94">
        <v>3569</v>
      </c>
      <c r="B316" t="s" s="126">
        <v>3487</v>
      </c>
      <c r="C316" t="s" s="126">
        <v>3487</v>
      </c>
      <c r="D316" t="s" s="126">
        <v>3487</v>
      </c>
      <c r="E316" s="36"/>
      <c r="F316" s="36"/>
      <c r="G316" t="s" s="90">
        <v>3731</v>
      </c>
      <c r="H316" s="30"/>
      <c r="I316" s="6"/>
      <c r="J316" s="7"/>
    </row>
    <row r="317" ht="22" customHeight="1">
      <c r="A317" t="s" s="94">
        <v>3760</v>
      </c>
      <c r="B317" t="s" s="126">
        <v>3487</v>
      </c>
      <c r="C317" t="s" s="126">
        <v>3487</v>
      </c>
      <c r="D317" t="s" s="126">
        <v>3487</v>
      </c>
      <c r="E317" s="36"/>
      <c r="F317" s="36"/>
      <c r="G317" t="s" s="90">
        <v>3731</v>
      </c>
      <c r="H317" s="30"/>
      <c r="I317" s="6"/>
      <c r="J317" s="7"/>
    </row>
    <row r="318" ht="22" customHeight="1">
      <c r="A318" t="s" s="94">
        <v>3761</v>
      </c>
      <c r="B318" t="s" s="126">
        <v>3487</v>
      </c>
      <c r="C318" t="s" s="126">
        <v>3487</v>
      </c>
      <c r="D318" t="s" s="126">
        <v>3487</v>
      </c>
      <c r="E318" s="36"/>
      <c r="F318" s="36"/>
      <c r="G318" t="s" s="90">
        <v>3731</v>
      </c>
      <c r="H318" s="30"/>
      <c r="I318" s="6"/>
      <c r="J318" s="7"/>
    </row>
    <row r="319" ht="22" customHeight="1">
      <c r="A319" t="s" s="94">
        <v>3762</v>
      </c>
      <c r="B319" t="s" s="126">
        <v>3487</v>
      </c>
      <c r="C319" t="s" s="126">
        <v>3487</v>
      </c>
      <c r="D319" t="s" s="126">
        <v>3487</v>
      </c>
      <c r="E319" s="36"/>
      <c r="F319" s="36"/>
      <c r="G319" t="s" s="90">
        <v>3731</v>
      </c>
      <c r="H319" s="30"/>
      <c r="I319" s="6"/>
      <c r="J319" s="7"/>
    </row>
    <row r="320" ht="22" customHeight="1">
      <c r="A320" t="s" s="94">
        <v>3763</v>
      </c>
      <c r="B320" t="s" s="126">
        <v>3487</v>
      </c>
      <c r="C320" t="s" s="126">
        <v>3487</v>
      </c>
      <c r="D320" t="s" s="126">
        <v>3487</v>
      </c>
      <c r="E320" s="36"/>
      <c r="F320" s="36"/>
      <c r="G320" t="s" s="90">
        <v>3731</v>
      </c>
      <c r="H320" s="30"/>
      <c r="I320" s="6"/>
      <c r="J320" s="7"/>
    </row>
    <row r="321" ht="22" customHeight="1">
      <c r="A321" t="s" s="94">
        <v>3764</v>
      </c>
      <c r="B321" t="s" s="126">
        <v>3487</v>
      </c>
      <c r="C321" t="s" s="126">
        <v>3487</v>
      </c>
      <c r="D321" t="s" s="126">
        <v>3487</v>
      </c>
      <c r="E321" s="36"/>
      <c r="F321" s="36"/>
      <c r="G321" t="s" s="90">
        <v>3731</v>
      </c>
      <c r="H321" s="30"/>
      <c r="I321" s="6"/>
      <c r="J321" s="7"/>
    </row>
    <row r="322" ht="22" customHeight="1">
      <c r="A322" t="s" s="94">
        <v>3765</v>
      </c>
      <c r="B322" t="s" s="126">
        <v>3487</v>
      </c>
      <c r="C322" t="s" s="126">
        <v>3487</v>
      </c>
      <c r="D322" t="s" s="126">
        <v>3487</v>
      </c>
      <c r="E322" s="36"/>
      <c r="F322" s="36"/>
      <c r="G322" t="s" s="90">
        <v>3731</v>
      </c>
      <c r="H322" s="30"/>
      <c r="I322" s="6"/>
      <c r="J322" s="7"/>
    </row>
    <row r="323" ht="22" customHeight="1">
      <c r="A323" t="s" s="94">
        <v>3766</v>
      </c>
      <c r="B323" t="s" s="126">
        <v>3487</v>
      </c>
      <c r="C323" t="s" s="126">
        <v>3487</v>
      </c>
      <c r="D323" t="s" s="126">
        <v>3487</v>
      </c>
      <c r="E323" s="36"/>
      <c r="F323" s="36"/>
      <c r="G323" t="s" s="90">
        <v>3731</v>
      </c>
      <c r="H323" s="30"/>
      <c r="I323" s="6"/>
      <c r="J323" s="7"/>
    </row>
    <row r="324" ht="22" customHeight="1">
      <c r="A324" t="s" s="94">
        <v>3767</v>
      </c>
      <c r="B324" t="s" s="126">
        <v>3487</v>
      </c>
      <c r="C324" t="s" s="126">
        <v>3487</v>
      </c>
      <c r="D324" t="s" s="126">
        <v>3487</v>
      </c>
      <c r="E324" s="36"/>
      <c r="F324" s="36"/>
      <c r="G324" t="s" s="90">
        <v>3731</v>
      </c>
      <c r="H324" s="30"/>
      <c r="I324" s="6"/>
      <c r="J324" s="7"/>
    </row>
    <row r="325" ht="22" customHeight="1">
      <c r="A325" t="s" s="94">
        <v>3768</v>
      </c>
      <c r="B325" t="s" s="126">
        <v>3487</v>
      </c>
      <c r="C325" t="s" s="126">
        <v>3487</v>
      </c>
      <c r="D325" t="s" s="126">
        <v>3487</v>
      </c>
      <c r="E325" s="36"/>
      <c r="F325" s="36"/>
      <c r="G325" t="s" s="90">
        <v>3731</v>
      </c>
      <c r="H325" s="30"/>
      <c r="I325" s="6"/>
      <c r="J325" s="7"/>
    </row>
    <row r="326" ht="22" customHeight="1">
      <c r="A326" t="s" s="94">
        <v>3769</v>
      </c>
      <c r="B326" t="s" s="126">
        <v>3487</v>
      </c>
      <c r="C326" t="s" s="126">
        <v>3487</v>
      </c>
      <c r="D326" t="s" s="126">
        <v>3487</v>
      </c>
      <c r="E326" s="36"/>
      <c r="F326" s="36"/>
      <c r="G326" t="s" s="90">
        <v>3731</v>
      </c>
      <c r="H326" s="30"/>
      <c r="I326" s="6"/>
      <c r="J326" s="7"/>
    </row>
    <row r="327" ht="22" customHeight="1">
      <c r="A327" t="s" s="94">
        <v>3770</v>
      </c>
      <c r="B327" t="s" s="126">
        <v>3487</v>
      </c>
      <c r="C327" t="s" s="126">
        <v>3487</v>
      </c>
      <c r="D327" t="s" s="126">
        <v>3487</v>
      </c>
      <c r="E327" s="36"/>
      <c r="F327" s="36"/>
      <c r="G327" t="s" s="90">
        <v>3731</v>
      </c>
      <c r="H327" s="30"/>
      <c r="I327" s="6"/>
      <c r="J327" s="7"/>
    </row>
    <row r="328" ht="22" customHeight="1">
      <c r="A328" t="s" s="94">
        <v>3771</v>
      </c>
      <c r="B328" t="s" s="126">
        <v>3487</v>
      </c>
      <c r="C328" t="s" s="126">
        <v>3487</v>
      </c>
      <c r="D328" t="s" s="126">
        <v>3487</v>
      </c>
      <c r="E328" s="36"/>
      <c r="F328" s="36"/>
      <c r="G328" t="s" s="90">
        <v>3731</v>
      </c>
      <c r="H328" s="30"/>
      <c r="I328" s="6"/>
      <c r="J328" s="7"/>
    </row>
    <row r="329" ht="22" customHeight="1">
      <c r="A329" t="s" s="94">
        <v>3772</v>
      </c>
      <c r="B329" t="s" s="126">
        <v>3487</v>
      </c>
      <c r="C329" t="s" s="126">
        <v>3487</v>
      </c>
      <c r="D329" t="s" s="126">
        <v>3487</v>
      </c>
      <c r="E329" s="36"/>
      <c r="F329" s="36"/>
      <c r="G329" t="s" s="90">
        <v>3731</v>
      </c>
      <c r="H329" s="30"/>
      <c r="I329" s="6"/>
      <c r="J329" s="7"/>
    </row>
    <row r="330" ht="22" customHeight="1">
      <c r="A330" t="s" s="94">
        <v>3773</v>
      </c>
      <c r="B330" t="s" s="126">
        <v>3487</v>
      </c>
      <c r="C330" t="s" s="126">
        <v>3487</v>
      </c>
      <c r="D330" t="s" s="126">
        <v>3487</v>
      </c>
      <c r="E330" s="36"/>
      <c r="F330" s="36"/>
      <c r="G330" t="s" s="90">
        <v>3731</v>
      </c>
      <c r="H330" s="30"/>
      <c r="I330" s="6"/>
      <c r="J330" s="7"/>
    </row>
    <row r="331" ht="22" customHeight="1">
      <c r="A331" t="s" s="94">
        <v>3774</v>
      </c>
      <c r="B331" t="s" s="126">
        <v>3487</v>
      </c>
      <c r="C331" t="s" s="126">
        <v>3487</v>
      </c>
      <c r="D331" t="s" s="126">
        <v>3487</v>
      </c>
      <c r="E331" s="36"/>
      <c r="F331" s="36"/>
      <c r="G331" t="s" s="90">
        <v>3731</v>
      </c>
      <c r="H331" s="30"/>
      <c r="I331" s="6"/>
      <c r="J331" s="7"/>
    </row>
    <row r="332" ht="22" customHeight="1">
      <c r="A332" t="s" s="94">
        <v>3775</v>
      </c>
      <c r="B332" t="s" s="126">
        <v>3487</v>
      </c>
      <c r="C332" t="s" s="126">
        <v>3487</v>
      </c>
      <c r="D332" t="s" s="126">
        <v>3487</v>
      </c>
      <c r="E332" s="36"/>
      <c r="F332" s="36"/>
      <c r="G332" t="s" s="90">
        <v>3731</v>
      </c>
      <c r="H332" s="30"/>
      <c r="I332" s="6"/>
      <c r="J332" s="7"/>
    </row>
    <row r="333" ht="22" customHeight="1">
      <c r="A333" t="s" s="94">
        <v>3776</v>
      </c>
      <c r="B333" t="s" s="126">
        <v>3487</v>
      </c>
      <c r="C333" t="s" s="126">
        <v>3487</v>
      </c>
      <c r="D333" t="s" s="126">
        <v>3487</v>
      </c>
      <c r="E333" s="36"/>
      <c r="F333" s="36"/>
      <c r="G333" t="s" s="90">
        <v>3731</v>
      </c>
      <c r="H333" s="30"/>
      <c r="I333" s="6"/>
      <c r="J333" s="7"/>
    </row>
    <row r="334" ht="22" customHeight="1">
      <c r="A334" t="s" s="94">
        <v>3777</v>
      </c>
      <c r="B334" t="s" s="126">
        <v>3487</v>
      </c>
      <c r="C334" t="s" s="126">
        <v>3487</v>
      </c>
      <c r="D334" t="s" s="126">
        <v>3487</v>
      </c>
      <c r="E334" s="36"/>
      <c r="F334" s="36"/>
      <c r="G334" t="s" s="90">
        <v>3731</v>
      </c>
      <c r="H334" s="30"/>
      <c r="I334" s="6"/>
      <c r="J334" s="7"/>
    </row>
    <row r="335" ht="22" customHeight="1">
      <c r="A335" t="s" s="94">
        <v>3778</v>
      </c>
      <c r="B335" t="s" s="126">
        <v>3487</v>
      </c>
      <c r="C335" t="s" s="126">
        <v>3487</v>
      </c>
      <c r="D335" t="s" s="126">
        <v>3487</v>
      </c>
      <c r="E335" s="36"/>
      <c r="F335" s="36"/>
      <c r="G335" t="s" s="90">
        <v>3731</v>
      </c>
      <c r="H335" s="30"/>
      <c r="I335" s="6"/>
      <c r="J335" s="7"/>
    </row>
    <row r="336" ht="22" customHeight="1">
      <c r="A336" t="s" s="94">
        <v>3779</v>
      </c>
      <c r="B336" t="s" s="126">
        <v>3487</v>
      </c>
      <c r="C336" t="s" s="126">
        <v>3487</v>
      </c>
      <c r="D336" t="s" s="126">
        <v>3487</v>
      </c>
      <c r="E336" s="36"/>
      <c r="F336" s="36"/>
      <c r="G336" t="s" s="90">
        <v>3731</v>
      </c>
      <c r="H336" s="30"/>
      <c r="I336" s="6"/>
      <c r="J336" s="7"/>
    </row>
    <row r="337" ht="22" customHeight="1">
      <c r="A337" t="s" s="94">
        <v>3582</v>
      </c>
      <c r="B337" t="s" s="126">
        <v>3487</v>
      </c>
      <c r="C337" t="s" s="126">
        <v>3487</v>
      </c>
      <c r="D337" t="s" s="126">
        <v>3487</v>
      </c>
      <c r="E337" s="36"/>
      <c r="F337" s="36"/>
      <c r="G337" t="s" s="90">
        <v>3731</v>
      </c>
      <c r="H337" s="30"/>
      <c r="I337" s="6"/>
      <c r="J337" s="7"/>
    </row>
    <row r="338" ht="22" customHeight="1">
      <c r="A338" t="s" s="94">
        <v>3780</v>
      </c>
      <c r="B338" t="s" s="126">
        <v>3487</v>
      </c>
      <c r="C338" t="s" s="126">
        <v>3487</v>
      </c>
      <c r="D338" t="s" s="126">
        <v>3487</v>
      </c>
      <c r="E338" s="36"/>
      <c r="F338" s="36"/>
      <c r="G338" t="s" s="90">
        <v>3731</v>
      </c>
      <c r="H338" s="30"/>
      <c r="I338" s="6"/>
      <c r="J338" s="7"/>
    </row>
    <row r="339" ht="22" customHeight="1">
      <c r="A339" t="s" s="94">
        <v>3781</v>
      </c>
      <c r="B339" t="s" s="126">
        <v>3487</v>
      </c>
      <c r="C339" t="s" s="126">
        <v>3487</v>
      </c>
      <c r="D339" t="s" s="126">
        <v>3487</v>
      </c>
      <c r="E339" s="36"/>
      <c r="F339" s="36"/>
      <c r="G339" t="s" s="90">
        <v>3731</v>
      </c>
      <c r="H339" s="30"/>
      <c r="I339" s="6"/>
      <c r="J339" s="7"/>
    </row>
    <row r="340" ht="22" customHeight="1">
      <c r="A340" t="s" s="94">
        <v>3782</v>
      </c>
      <c r="B340" t="s" s="126">
        <v>3487</v>
      </c>
      <c r="C340" t="s" s="126">
        <v>3487</v>
      </c>
      <c r="D340" t="s" s="126">
        <v>3487</v>
      </c>
      <c r="E340" s="36"/>
      <c r="F340" s="36"/>
      <c r="G340" t="s" s="90">
        <v>3731</v>
      </c>
      <c r="H340" s="30"/>
      <c r="I340" s="6"/>
      <c r="J340" s="7"/>
    </row>
    <row r="341" ht="22" customHeight="1">
      <c r="A341" t="s" s="94">
        <v>3783</v>
      </c>
      <c r="B341" t="s" s="126">
        <v>3487</v>
      </c>
      <c r="C341" t="s" s="126">
        <v>3487</v>
      </c>
      <c r="D341" t="s" s="126">
        <v>3487</v>
      </c>
      <c r="E341" s="36"/>
      <c r="F341" s="36"/>
      <c r="G341" t="s" s="90">
        <v>3731</v>
      </c>
      <c r="H341" s="30"/>
      <c r="I341" s="6"/>
      <c r="J341" s="7"/>
    </row>
    <row r="342" ht="22" customHeight="1">
      <c r="A342" t="s" s="94">
        <v>3784</v>
      </c>
      <c r="B342" t="s" s="126">
        <v>3487</v>
      </c>
      <c r="C342" t="s" s="126">
        <v>3487</v>
      </c>
      <c r="D342" t="s" s="126">
        <v>3487</v>
      </c>
      <c r="E342" s="36"/>
      <c r="F342" s="36"/>
      <c r="G342" t="s" s="90">
        <v>3731</v>
      </c>
      <c r="H342" s="30"/>
      <c r="I342" s="6"/>
      <c r="J342" s="7"/>
    </row>
    <row r="343" ht="22" customHeight="1">
      <c r="A343" t="s" s="94">
        <v>3785</v>
      </c>
      <c r="B343" t="s" s="126">
        <v>3487</v>
      </c>
      <c r="C343" t="s" s="126">
        <v>3487</v>
      </c>
      <c r="D343" t="s" s="126">
        <v>3487</v>
      </c>
      <c r="E343" s="36"/>
      <c r="F343" s="36"/>
      <c r="G343" t="s" s="90">
        <v>3731</v>
      </c>
      <c r="H343" s="30"/>
      <c r="I343" s="6"/>
      <c r="J343" s="7"/>
    </row>
    <row r="344" ht="22" customHeight="1">
      <c r="A344" t="s" s="94">
        <v>3786</v>
      </c>
      <c r="B344" t="s" s="126">
        <v>3487</v>
      </c>
      <c r="C344" t="s" s="126">
        <v>3487</v>
      </c>
      <c r="D344" t="s" s="126">
        <v>3487</v>
      </c>
      <c r="E344" s="36"/>
      <c r="F344" s="36"/>
      <c r="G344" t="s" s="90">
        <v>3731</v>
      </c>
      <c r="H344" s="30"/>
      <c r="I344" s="6"/>
      <c r="J344" s="7"/>
    </row>
    <row r="345" ht="22" customHeight="1">
      <c r="A345" t="s" s="94">
        <v>3787</v>
      </c>
      <c r="B345" t="s" s="126">
        <v>3487</v>
      </c>
      <c r="C345" t="s" s="126">
        <v>3487</v>
      </c>
      <c r="D345" t="s" s="126">
        <v>3487</v>
      </c>
      <c r="E345" s="36"/>
      <c r="F345" s="36"/>
      <c r="G345" t="s" s="90">
        <v>3731</v>
      </c>
      <c r="H345" s="30"/>
      <c r="I345" s="6"/>
      <c r="J345" s="7"/>
    </row>
    <row r="346" ht="22" customHeight="1">
      <c r="A346" t="s" s="94">
        <v>3788</v>
      </c>
      <c r="B346" t="s" s="126">
        <v>3487</v>
      </c>
      <c r="C346" t="s" s="126">
        <v>3487</v>
      </c>
      <c r="D346" t="s" s="126">
        <v>3487</v>
      </c>
      <c r="E346" s="36"/>
      <c r="F346" s="36"/>
      <c r="G346" t="s" s="90">
        <v>3731</v>
      </c>
      <c r="H346" s="30"/>
      <c r="I346" s="6"/>
      <c r="J346" s="7"/>
    </row>
    <row r="347" ht="22" customHeight="1">
      <c r="A347" t="s" s="94">
        <v>3789</v>
      </c>
      <c r="B347" t="s" s="126">
        <v>3487</v>
      </c>
      <c r="C347" t="s" s="126">
        <v>3487</v>
      </c>
      <c r="D347" t="s" s="126">
        <v>3487</v>
      </c>
      <c r="E347" s="36"/>
      <c r="F347" s="36"/>
      <c r="G347" t="s" s="90">
        <v>3731</v>
      </c>
      <c r="H347" s="30"/>
      <c r="I347" s="6"/>
      <c r="J347" s="7"/>
    </row>
    <row r="348" ht="22" customHeight="1">
      <c r="A348" t="s" s="94">
        <v>3790</v>
      </c>
      <c r="B348" t="s" s="126">
        <v>3487</v>
      </c>
      <c r="C348" t="s" s="126">
        <v>3487</v>
      </c>
      <c r="D348" t="s" s="126">
        <v>3487</v>
      </c>
      <c r="E348" s="36"/>
      <c r="F348" s="36"/>
      <c r="G348" t="s" s="90">
        <v>3731</v>
      </c>
      <c r="H348" s="30"/>
      <c r="I348" s="6"/>
      <c r="J348" s="7"/>
    </row>
    <row r="349" ht="22" customHeight="1">
      <c r="A349" t="s" s="94">
        <v>3614</v>
      </c>
      <c r="B349" t="s" s="126">
        <v>3487</v>
      </c>
      <c r="C349" t="s" s="126">
        <v>3487</v>
      </c>
      <c r="D349" t="s" s="126">
        <v>3487</v>
      </c>
      <c r="E349" s="36"/>
      <c r="F349" s="36"/>
      <c r="G349" t="s" s="90">
        <v>3731</v>
      </c>
      <c r="H349" s="30"/>
      <c r="I349" s="6"/>
      <c r="J349" s="7"/>
    </row>
    <row r="350" ht="22" customHeight="1">
      <c r="A350" t="s" s="94">
        <v>3791</v>
      </c>
      <c r="B350" t="s" s="126">
        <v>3487</v>
      </c>
      <c r="C350" t="s" s="126">
        <v>3487</v>
      </c>
      <c r="D350" t="s" s="126">
        <v>3487</v>
      </c>
      <c r="E350" s="36"/>
      <c r="F350" s="36"/>
      <c r="G350" t="s" s="90">
        <v>3731</v>
      </c>
      <c r="H350" s="30"/>
      <c r="I350" s="6"/>
      <c r="J350" s="7"/>
    </row>
    <row r="351" ht="22" customHeight="1">
      <c r="A351" t="s" s="94">
        <v>3792</v>
      </c>
      <c r="B351" t="s" s="126">
        <v>3487</v>
      </c>
      <c r="C351" t="s" s="126">
        <v>3487</v>
      </c>
      <c r="D351" t="s" s="126">
        <v>3487</v>
      </c>
      <c r="E351" s="36"/>
      <c r="F351" s="36"/>
      <c r="G351" t="s" s="90">
        <v>3731</v>
      </c>
      <c r="H351" s="30"/>
      <c r="I351" s="6"/>
      <c r="J351" s="7"/>
    </row>
    <row r="352" ht="22" customHeight="1">
      <c r="A352" t="s" s="94">
        <v>3793</v>
      </c>
      <c r="B352" t="s" s="126">
        <v>3487</v>
      </c>
      <c r="C352" t="s" s="126">
        <v>3487</v>
      </c>
      <c r="D352" t="s" s="126">
        <v>3487</v>
      </c>
      <c r="E352" s="36"/>
      <c r="F352" s="36"/>
      <c r="G352" t="s" s="90">
        <v>3731</v>
      </c>
      <c r="H352" s="30"/>
      <c r="I352" s="6"/>
      <c r="J352" s="7"/>
    </row>
    <row r="353" ht="22" customHeight="1">
      <c r="A353" t="s" s="94">
        <v>3794</v>
      </c>
      <c r="B353" t="s" s="126">
        <v>3487</v>
      </c>
      <c r="C353" t="s" s="126">
        <v>3487</v>
      </c>
      <c r="D353" t="s" s="126">
        <v>3487</v>
      </c>
      <c r="E353" s="36"/>
      <c r="F353" s="36"/>
      <c r="G353" t="s" s="90">
        <v>3731</v>
      </c>
      <c r="H353" s="30"/>
      <c r="I353" s="6"/>
      <c r="J353" s="7"/>
    </row>
    <row r="354" ht="22" customHeight="1">
      <c r="A354" t="s" s="94">
        <v>3795</v>
      </c>
      <c r="B354" t="s" s="126">
        <v>3487</v>
      </c>
      <c r="C354" t="s" s="126">
        <v>3487</v>
      </c>
      <c r="D354" t="s" s="126">
        <v>3487</v>
      </c>
      <c r="E354" s="36"/>
      <c r="F354" s="36"/>
      <c r="G354" t="s" s="90">
        <v>3731</v>
      </c>
      <c r="H354" s="30"/>
      <c r="I354" s="6"/>
      <c r="J354" s="7"/>
    </row>
    <row r="355" ht="22" customHeight="1">
      <c r="A355" t="s" s="94">
        <v>3796</v>
      </c>
      <c r="B355" t="s" s="126">
        <v>3487</v>
      </c>
      <c r="C355" t="s" s="126">
        <v>3487</v>
      </c>
      <c r="D355" t="s" s="126">
        <v>3487</v>
      </c>
      <c r="E355" s="36"/>
      <c r="F355" s="36"/>
      <c r="G355" t="s" s="90">
        <v>3731</v>
      </c>
      <c r="H355" s="30"/>
      <c r="I355" s="6"/>
      <c r="J355" s="7"/>
    </row>
    <row r="356" ht="22" customHeight="1">
      <c r="A356" t="s" s="94">
        <v>3797</v>
      </c>
      <c r="B356" t="s" s="126">
        <v>3487</v>
      </c>
      <c r="C356" t="s" s="126">
        <v>3487</v>
      </c>
      <c r="D356" t="s" s="126">
        <v>3487</v>
      </c>
      <c r="E356" s="36"/>
      <c r="F356" s="36"/>
      <c r="G356" t="s" s="90">
        <v>3731</v>
      </c>
      <c r="H356" s="30"/>
      <c r="I356" s="6"/>
      <c r="J356" s="7"/>
    </row>
    <row r="357" ht="22" customHeight="1">
      <c r="A357" t="s" s="94">
        <v>3798</v>
      </c>
      <c r="B357" t="s" s="126">
        <v>3487</v>
      </c>
      <c r="C357" t="s" s="126">
        <v>3487</v>
      </c>
      <c r="D357" t="s" s="126">
        <v>3487</v>
      </c>
      <c r="E357" s="36"/>
      <c r="F357" s="36"/>
      <c r="G357" t="s" s="90">
        <v>3731</v>
      </c>
      <c r="H357" s="30"/>
      <c r="I357" s="6"/>
      <c r="J357" s="7"/>
    </row>
    <row r="358" ht="22" customHeight="1">
      <c r="A358" t="s" s="94">
        <v>3799</v>
      </c>
      <c r="B358" t="s" s="126">
        <v>3487</v>
      </c>
      <c r="C358" t="s" s="126">
        <v>3487</v>
      </c>
      <c r="D358" t="s" s="126">
        <v>3487</v>
      </c>
      <c r="E358" s="36"/>
      <c r="F358" s="36"/>
      <c r="G358" t="s" s="90">
        <v>3731</v>
      </c>
      <c r="H358" s="30"/>
      <c r="I358" s="6"/>
      <c r="J358" s="7"/>
    </row>
    <row r="359" ht="22" customHeight="1">
      <c r="A359" t="s" s="94">
        <v>3800</v>
      </c>
      <c r="B359" t="s" s="126">
        <v>3487</v>
      </c>
      <c r="C359" t="s" s="126">
        <v>3487</v>
      </c>
      <c r="D359" t="s" s="126">
        <v>3487</v>
      </c>
      <c r="E359" s="36"/>
      <c r="F359" s="36"/>
      <c r="G359" t="s" s="90">
        <v>3731</v>
      </c>
      <c r="H359" s="30"/>
      <c r="I359" s="6"/>
      <c r="J359" s="7"/>
    </row>
    <row r="360" ht="22" customHeight="1">
      <c r="A360" t="s" s="94">
        <v>3801</v>
      </c>
      <c r="B360" t="s" s="126">
        <v>3487</v>
      </c>
      <c r="C360" t="s" s="126">
        <v>3487</v>
      </c>
      <c r="D360" t="s" s="126">
        <v>3487</v>
      </c>
      <c r="E360" s="36"/>
      <c r="F360" s="36"/>
      <c r="G360" t="s" s="90">
        <v>3731</v>
      </c>
      <c r="H360" s="30"/>
      <c r="I360" s="6"/>
      <c r="J360" s="7"/>
    </row>
    <row r="361" ht="22" customHeight="1">
      <c r="A361" t="s" s="94">
        <v>3802</v>
      </c>
      <c r="B361" t="s" s="126">
        <v>3487</v>
      </c>
      <c r="C361" t="s" s="126">
        <v>3487</v>
      </c>
      <c r="D361" t="s" s="126">
        <v>3487</v>
      </c>
      <c r="E361" s="36"/>
      <c r="F361" s="36"/>
      <c r="G361" t="s" s="90">
        <v>3731</v>
      </c>
      <c r="H361" s="30"/>
      <c r="I361" s="6"/>
      <c r="J361" s="7"/>
    </row>
    <row r="362" ht="22" customHeight="1">
      <c r="A362" t="s" s="94">
        <v>3803</v>
      </c>
      <c r="B362" t="s" s="126">
        <v>3487</v>
      </c>
      <c r="C362" t="s" s="126">
        <v>3487</v>
      </c>
      <c r="D362" t="s" s="126">
        <v>3487</v>
      </c>
      <c r="E362" s="36"/>
      <c r="F362" s="36"/>
      <c r="G362" t="s" s="90">
        <v>3731</v>
      </c>
      <c r="H362" s="30"/>
      <c r="I362" s="6"/>
      <c r="J362" s="7"/>
    </row>
    <row r="363" ht="22" customHeight="1">
      <c r="A363" t="s" s="94">
        <v>3804</v>
      </c>
      <c r="B363" t="s" s="126">
        <v>3487</v>
      </c>
      <c r="C363" t="s" s="126">
        <v>3487</v>
      </c>
      <c r="D363" t="s" s="126">
        <v>3487</v>
      </c>
      <c r="E363" s="36"/>
      <c r="F363" s="36"/>
      <c r="G363" t="s" s="90">
        <v>3731</v>
      </c>
      <c r="H363" s="30"/>
      <c r="I363" s="6"/>
      <c r="J363" s="7"/>
    </row>
    <row r="364" ht="22" customHeight="1">
      <c r="A364" t="s" s="94">
        <v>3605</v>
      </c>
      <c r="B364" t="s" s="126">
        <v>3487</v>
      </c>
      <c r="C364" t="s" s="126">
        <v>3487</v>
      </c>
      <c r="D364" t="s" s="126">
        <v>3487</v>
      </c>
      <c r="E364" s="36"/>
      <c r="F364" s="36"/>
      <c r="G364" t="s" s="90">
        <v>3731</v>
      </c>
      <c r="H364" s="30"/>
      <c r="I364" s="6"/>
      <c r="J364" s="7"/>
    </row>
    <row r="365" ht="22" customHeight="1">
      <c r="A365" t="s" s="94">
        <v>3805</v>
      </c>
      <c r="B365" t="s" s="126">
        <v>3487</v>
      </c>
      <c r="C365" t="s" s="126">
        <v>3487</v>
      </c>
      <c r="D365" t="s" s="126">
        <v>3487</v>
      </c>
      <c r="E365" s="36"/>
      <c r="F365" s="36"/>
      <c r="G365" t="s" s="90">
        <v>3731</v>
      </c>
      <c r="H365" s="30"/>
      <c r="I365" s="6"/>
      <c r="J365" s="7"/>
    </row>
    <row r="366" ht="22" customHeight="1">
      <c r="A366" t="s" s="94">
        <v>3806</v>
      </c>
      <c r="B366" t="s" s="126">
        <v>3487</v>
      </c>
      <c r="C366" t="s" s="126">
        <v>3487</v>
      </c>
      <c r="D366" t="s" s="126">
        <v>3487</v>
      </c>
      <c r="E366" s="36"/>
      <c r="F366" s="36"/>
      <c r="G366" t="s" s="90">
        <v>3731</v>
      </c>
      <c r="H366" s="30"/>
      <c r="I366" s="6"/>
      <c r="J366" s="7"/>
    </row>
    <row r="367" ht="22" customHeight="1">
      <c r="A367" t="s" s="94">
        <v>3807</v>
      </c>
      <c r="B367" t="s" s="126">
        <v>3487</v>
      </c>
      <c r="C367" t="s" s="126">
        <v>3487</v>
      </c>
      <c r="D367" t="s" s="126">
        <v>3487</v>
      </c>
      <c r="E367" s="36"/>
      <c r="F367" s="36"/>
      <c r="G367" t="s" s="90">
        <v>3731</v>
      </c>
      <c r="H367" s="30"/>
      <c r="I367" s="6"/>
      <c r="J367" s="7"/>
    </row>
    <row r="368" ht="22" customHeight="1">
      <c r="A368" t="s" s="94">
        <v>3808</v>
      </c>
      <c r="B368" t="s" s="126">
        <v>3487</v>
      </c>
      <c r="C368" t="s" s="126">
        <v>3487</v>
      </c>
      <c r="D368" t="s" s="126">
        <v>3487</v>
      </c>
      <c r="E368" s="36"/>
      <c r="F368" s="36"/>
      <c r="G368" t="s" s="90">
        <v>3731</v>
      </c>
      <c r="H368" s="30"/>
      <c r="I368" s="6"/>
      <c r="J368" s="7"/>
    </row>
    <row r="369" ht="22" customHeight="1">
      <c r="A369" t="s" s="94">
        <v>3518</v>
      </c>
      <c r="B369" t="s" s="126">
        <v>3487</v>
      </c>
      <c r="C369" t="s" s="126">
        <v>3487</v>
      </c>
      <c r="D369" t="s" s="126">
        <v>3487</v>
      </c>
      <c r="E369" s="36"/>
      <c r="F369" s="36"/>
      <c r="G369" t="s" s="90">
        <v>3731</v>
      </c>
      <c r="H369" s="30"/>
      <c r="I369" s="6"/>
      <c r="J369" s="7"/>
    </row>
    <row r="370" ht="22" customHeight="1">
      <c r="A370" t="s" s="94">
        <v>3809</v>
      </c>
      <c r="B370" t="s" s="126">
        <v>3487</v>
      </c>
      <c r="C370" t="s" s="126">
        <v>3487</v>
      </c>
      <c r="D370" t="s" s="126">
        <v>3487</v>
      </c>
      <c r="E370" s="36"/>
      <c r="F370" s="36"/>
      <c r="G370" t="s" s="90">
        <v>3731</v>
      </c>
      <c r="H370" s="30"/>
      <c r="I370" s="6"/>
      <c r="J370" s="7"/>
    </row>
    <row r="371" ht="22" customHeight="1">
      <c r="A371" t="s" s="94">
        <v>3810</v>
      </c>
      <c r="B371" t="s" s="126">
        <v>3487</v>
      </c>
      <c r="C371" t="s" s="126">
        <v>3487</v>
      </c>
      <c r="D371" t="s" s="126">
        <v>3487</v>
      </c>
      <c r="E371" s="36"/>
      <c r="F371" s="36"/>
      <c r="G371" t="s" s="90">
        <v>3731</v>
      </c>
      <c r="H371" s="30"/>
      <c r="I371" s="6"/>
      <c r="J371" s="7"/>
    </row>
    <row r="372" ht="22" customHeight="1">
      <c r="A372" t="s" s="94">
        <v>3811</v>
      </c>
      <c r="B372" t="s" s="126">
        <v>3487</v>
      </c>
      <c r="C372" t="s" s="126">
        <v>3487</v>
      </c>
      <c r="D372" t="s" s="126">
        <v>3487</v>
      </c>
      <c r="E372" s="36"/>
      <c r="F372" s="36"/>
      <c r="G372" t="s" s="90">
        <v>3731</v>
      </c>
      <c r="H372" s="30"/>
      <c r="I372" s="6"/>
      <c r="J372" s="7"/>
    </row>
    <row r="373" ht="22" customHeight="1">
      <c r="A373" t="s" s="94">
        <v>3812</v>
      </c>
      <c r="B373" t="s" s="126">
        <v>3487</v>
      </c>
      <c r="C373" t="s" s="126">
        <v>3487</v>
      </c>
      <c r="D373" t="s" s="126">
        <v>3487</v>
      </c>
      <c r="E373" s="36"/>
      <c r="F373" s="36"/>
      <c r="G373" t="s" s="90">
        <v>3731</v>
      </c>
      <c r="H373" s="30"/>
      <c r="I373" s="6"/>
      <c r="J373" s="7"/>
    </row>
    <row r="374" ht="22" customHeight="1">
      <c r="A374" t="s" s="94">
        <v>3813</v>
      </c>
      <c r="B374" t="s" s="126">
        <v>3487</v>
      </c>
      <c r="C374" t="s" s="126">
        <v>3487</v>
      </c>
      <c r="D374" t="s" s="126">
        <v>3487</v>
      </c>
      <c r="E374" s="36"/>
      <c r="F374" s="36"/>
      <c r="G374" t="s" s="90">
        <v>3731</v>
      </c>
      <c r="H374" s="30"/>
      <c r="I374" s="6"/>
      <c r="J374" s="7"/>
    </row>
    <row r="375" ht="22" customHeight="1">
      <c r="A375" t="s" s="94">
        <v>3814</v>
      </c>
      <c r="B375" t="s" s="126">
        <v>3487</v>
      </c>
      <c r="C375" t="s" s="126">
        <v>3487</v>
      </c>
      <c r="D375" t="s" s="126">
        <v>3487</v>
      </c>
      <c r="E375" s="36"/>
      <c r="F375" s="36"/>
      <c r="G375" t="s" s="90">
        <v>3731</v>
      </c>
      <c r="H375" s="30"/>
      <c r="I375" s="6"/>
      <c r="J375" s="7"/>
    </row>
    <row r="376" ht="22" customHeight="1">
      <c r="A376" t="s" s="94">
        <v>3815</v>
      </c>
      <c r="B376" t="s" s="126">
        <v>3487</v>
      </c>
      <c r="C376" t="s" s="126">
        <v>3487</v>
      </c>
      <c r="D376" t="s" s="126">
        <v>3487</v>
      </c>
      <c r="E376" s="36"/>
      <c r="F376" s="36"/>
      <c r="G376" t="s" s="90">
        <v>3731</v>
      </c>
      <c r="H376" s="30"/>
      <c r="I376" s="6"/>
      <c r="J376" s="7"/>
    </row>
    <row r="377" ht="22" customHeight="1">
      <c r="A377" t="s" s="94">
        <v>3816</v>
      </c>
      <c r="B377" t="s" s="126">
        <v>3487</v>
      </c>
      <c r="C377" t="s" s="126">
        <v>3487</v>
      </c>
      <c r="D377" t="s" s="126">
        <v>3487</v>
      </c>
      <c r="E377" s="36"/>
      <c r="F377" s="36"/>
      <c r="G377" t="s" s="90">
        <v>3731</v>
      </c>
      <c r="H377" s="30"/>
      <c r="I377" s="6"/>
      <c r="J377" s="7"/>
    </row>
    <row r="378" ht="22" customHeight="1">
      <c r="A378" t="s" s="94">
        <v>3817</v>
      </c>
      <c r="B378" t="s" s="126">
        <v>3487</v>
      </c>
      <c r="C378" t="s" s="126">
        <v>3487</v>
      </c>
      <c r="D378" t="s" s="126">
        <v>3487</v>
      </c>
      <c r="E378" s="36"/>
      <c r="F378" s="36"/>
      <c r="G378" t="s" s="90">
        <v>3731</v>
      </c>
      <c r="H378" s="30"/>
      <c r="I378" s="6"/>
      <c r="J378" s="7"/>
    </row>
    <row r="379" ht="22" customHeight="1">
      <c r="A379" t="s" s="94">
        <v>3818</v>
      </c>
      <c r="B379" t="s" s="126">
        <v>3487</v>
      </c>
      <c r="C379" t="s" s="126">
        <v>3487</v>
      </c>
      <c r="D379" t="s" s="126">
        <v>3487</v>
      </c>
      <c r="E379" s="36"/>
      <c r="F379" s="36"/>
      <c r="G379" t="s" s="90">
        <v>3731</v>
      </c>
      <c r="H379" s="30"/>
      <c r="I379" s="6"/>
      <c r="J379" s="7"/>
    </row>
    <row r="380" ht="22" customHeight="1">
      <c r="A380" t="s" s="94">
        <v>3819</v>
      </c>
      <c r="B380" t="s" s="126">
        <v>3487</v>
      </c>
      <c r="C380" t="s" s="126">
        <v>3487</v>
      </c>
      <c r="D380" t="s" s="126">
        <v>3487</v>
      </c>
      <c r="E380" s="36"/>
      <c r="F380" s="36"/>
      <c r="G380" t="s" s="90">
        <v>3731</v>
      </c>
      <c r="H380" s="30"/>
      <c r="I380" s="6"/>
      <c r="J380" s="7"/>
    </row>
    <row r="381" ht="22" customHeight="1">
      <c r="A381" t="s" s="94">
        <v>3820</v>
      </c>
      <c r="B381" t="s" s="126">
        <v>3487</v>
      </c>
      <c r="C381" t="s" s="126">
        <v>3487</v>
      </c>
      <c r="D381" t="s" s="126">
        <v>3487</v>
      </c>
      <c r="E381" s="36"/>
      <c r="F381" s="36"/>
      <c r="G381" t="s" s="90">
        <v>3731</v>
      </c>
      <c r="H381" s="30"/>
      <c r="I381" s="6"/>
      <c r="J381" s="7"/>
    </row>
    <row r="382" ht="22" customHeight="1">
      <c r="A382" t="s" s="94">
        <v>3821</v>
      </c>
      <c r="B382" t="s" s="126">
        <v>3487</v>
      </c>
      <c r="C382" t="s" s="126">
        <v>3487</v>
      </c>
      <c r="D382" t="s" s="126">
        <v>3487</v>
      </c>
      <c r="E382" s="36"/>
      <c r="F382" s="36"/>
      <c r="G382" t="s" s="90">
        <v>3731</v>
      </c>
      <c r="H382" s="30"/>
      <c r="I382" s="6"/>
      <c r="J382" s="7"/>
    </row>
    <row r="383" ht="22" customHeight="1">
      <c r="A383" t="s" s="94">
        <v>3822</v>
      </c>
      <c r="B383" t="s" s="126">
        <v>3487</v>
      </c>
      <c r="C383" t="s" s="126">
        <v>3487</v>
      </c>
      <c r="D383" t="s" s="126">
        <v>3487</v>
      </c>
      <c r="E383" s="36"/>
      <c r="F383" s="36"/>
      <c r="G383" t="s" s="90">
        <v>3731</v>
      </c>
      <c r="H383" s="30"/>
      <c r="I383" s="6"/>
      <c r="J383" s="7"/>
    </row>
    <row r="384" ht="22" customHeight="1">
      <c r="A384" t="s" s="94">
        <v>3823</v>
      </c>
      <c r="B384" t="s" s="126">
        <v>3487</v>
      </c>
      <c r="C384" t="s" s="126">
        <v>3487</v>
      </c>
      <c r="D384" t="s" s="126">
        <v>3487</v>
      </c>
      <c r="E384" s="36"/>
      <c r="F384" s="36"/>
      <c r="G384" t="s" s="90">
        <v>3731</v>
      </c>
      <c r="H384" s="30"/>
      <c r="I384" s="6"/>
      <c r="J384" s="7"/>
    </row>
    <row r="385" ht="22" customHeight="1">
      <c r="A385" t="s" s="94">
        <v>3824</v>
      </c>
      <c r="B385" t="s" s="126">
        <v>3487</v>
      </c>
      <c r="C385" t="s" s="126">
        <v>3487</v>
      </c>
      <c r="D385" t="s" s="126">
        <v>3487</v>
      </c>
      <c r="E385" s="36"/>
      <c r="F385" s="36"/>
      <c r="G385" t="s" s="90">
        <v>3731</v>
      </c>
      <c r="H385" s="132" cm="1">
        <f t="array" ref="H385">285-385</f>
        <v>-100</v>
      </c>
      <c r="I385" s="6"/>
      <c r="J385" s="7"/>
    </row>
    <row r="386" ht="26.25" customHeight="1">
      <c r="A386" t="s" s="84">
        <v>3825</v>
      </c>
      <c r="B386" s="125"/>
      <c r="C386" s="125"/>
      <c r="D386" s="125"/>
      <c r="E386" s="125"/>
      <c r="F386" s="125"/>
      <c r="G386" s="125"/>
      <c r="H386" s="30"/>
      <c r="I386" s="6"/>
      <c r="J386" s="7"/>
    </row>
    <row r="387" ht="26.25" customHeight="1">
      <c r="A387" s="125"/>
      <c r="B387" s="125"/>
      <c r="C387" s="125"/>
      <c r="D387" s="125"/>
      <c r="E387" s="125"/>
      <c r="F387" s="125"/>
      <c r="G387" s="125"/>
      <c r="H387" s="30"/>
      <c r="I387" s="6"/>
      <c r="J387" s="7"/>
    </row>
    <row r="388" ht="22" customHeight="1">
      <c r="A388" t="s" s="126">
        <v>3480</v>
      </c>
      <c r="B388" t="s" s="126">
        <v>3826</v>
      </c>
      <c r="C388" t="s" s="126">
        <v>3827</v>
      </c>
      <c r="D388" t="s" s="126">
        <v>3828</v>
      </c>
      <c r="E388" t="s" s="126">
        <v>60</v>
      </c>
      <c r="F388" t="s" s="126">
        <v>60</v>
      </c>
      <c r="G388" t="s" s="90">
        <v>3485</v>
      </c>
      <c r="H388" s="30"/>
      <c r="I388" s="6"/>
      <c r="J388" s="7"/>
    </row>
    <row r="389" ht="22" customHeight="1">
      <c r="A389" t="s" s="94">
        <v>3829</v>
      </c>
      <c r="B389" t="s" s="126">
        <v>3487</v>
      </c>
      <c r="C389" t="s" s="126">
        <v>3487</v>
      </c>
      <c r="D389" t="s" s="126">
        <v>3487</v>
      </c>
      <c r="E389" s="36"/>
      <c r="F389" s="36"/>
      <c r="G389" t="s" s="90">
        <v>3830</v>
      </c>
      <c r="H389" s="30"/>
      <c r="I389" s="6"/>
      <c r="J389" s="7"/>
    </row>
    <row r="390" ht="22" customHeight="1">
      <c r="A390" t="s" s="94">
        <v>3831</v>
      </c>
      <c r="B390" t="s" s="126">
        <v>3487</v>
      </c>
      <c r="C390" t="s" s="126">
        <v>3487</v>
      </c>
      <c r="D390" t="s" s="126">
        <v>3487</v>
      </c>
      <c r="E390" s="36"/>
      <c r="F390" s="36"/>
      <c r="G390" t="s" s="90">
        <v>3830</v>
      </c>
      <c r="H390" s="30"/>
      <c r="I390" s="6"/>
      <c r="J390" s="7"/>
    </row>
    <row r="391" ht="22" customHeight="1">
      <c r="A391" t="s" s="94">
        <v>3832</v>
      </c>
      <c r="B391" t="s" s="126">
        <v>3487</v>
      </c>
      <c r="C391" t="s" s="126">
        <v>3487</v>
      </c>
      <c r="D391" t="s" s="126">
        <v>3487</v>
      </c>
      <c r="E391" s="36"/>
      <c r="F391" s="36"/>
      <c r="G391" t="s" s="90">
        <v>3830</v>
      </c>
      <c r="H391" s="30"/>
      <c r="I391" s="6"/>
      <c r="J391" s="7"/>
    </row>
    <row r="392" ht="22" customHeight="1">
      <c r="A392" t="s" s="94">
        <v>3833</v>
      </c>
      <c r="B392" t="s" s="126">
        <v>3487</v>
      </c>
      <c r="C392" t="s" s="126">
        <v>3487</v>
      </c>
      <c r="D392" t="s" s="126">
        <v>3487</v>
      </c>
      <c r="E392" s="36"/>
      <c r="F392" s="36"/>
      <c r="G392" t="s" s="90">
        <v>3830</v>
      </c>
      <c r="H392" s="30"/>
      <c r="I392" s="6"/>
      <c r="J392" s="7"/>
    </row>
    <row r="393" ht="22" customHeight="1">
      <c r="A393" t="s" s="94">
        <v>3834</v>
      </c>
      <c r="B393" t="s" s="126">
        <v>3487</v>
      </c>
      <c r="C393" t="s" s="126">
        <v>3487</v>
      </c>
      <c r="D393" t="s" s="126">
        <v>3487</v>
      </c>
      <c r="E393" s="36"/>
      <c r="F393" s="36"/>
      <c r="G393" t="s" s="90">
        <v>3830</v>
      </c>
      <c r="H393" s="30"/>
      <c r="I393" s="6"/>
      <c r="J393" s="7"/>
    </row>
    <row r="394" ht="22" customHeight="1">
      <c r="A394" t="s" s="94">
        <v>3835</v>
      </c>
      <c r="B394" t="s" s="126">
        <v>3487</v>
      </c>
      <c r="C394" t="s" s="126">
        <v>3487</v>
      </c>
      <c r="D394" t="s" s="126">
        <v>3487</v>
      </c>
      <c r="E394" s="36"/>
      <c r="F394" s="36"/>
      <c r="G394" t="s" s="90">
        <v>3830</v>
      </c>
      <c r="H394" s="30"/>
      <c r="I394" s="6"/>
      <c r="J394" s="7"/>
    </row>
    <row r="395" ht="22" customHeight="1">
      <c r="A395" t="s" s="94">
        <v>3836</v>
      </c>
      <c r="B395" t="s" s="126">
        <v>3487</v>
      </c>
      <c r="C395" t="s" s="126">
        <v>3487</v>
      </c>
      <c r="D395" t="s" s="126">
        <v>3487</v>
      </c>
      <c r="E395" s="36"/>
      <c r="F395" s="36"/>
      <c r="G395" t="s" s="90">
        <v>3830</v>
      </c>
      <c r="H395" s="30"/>
      <c r="I395" s="6"/>
      <c r="J395" s="7"/>
    </row>
    <row r="396" ht="22" customHeight="1">
      <c r="A396" t="s" s="94">
        <v>3837</v>
      </c>
      <c r="B396" t="s" s="126">
        <v>3487</v>
      </c>
      <c r="C396" t="s" s="126">
        <v>3487</v>
      </c>
      <c r="D396" t="s" s="126">
        <v>3487</v>
      </c>
      <c r="E396" s="36"/>
      <c r="F396" s="36"/>
      <c r="G396" t="s" s="90">
        <v>3830</v>
      </c>
      <c r="H396" s="30"/>
      <c r="I396" s="6"/>
      <c r="J396" s="7"/>
    </row>
    <row r="397" ht="22" customHeight="1">
      <c r="A397" t="s" s="94">
        <v>3838</v>
      </c>
      <c r="B397" t="s" s="126">
        <v>3487</v>
      </c>
      <c r="C397" t="s" s="126">
        <v>3487</v>
      </c>
      <c r="D397" t="s" s="126">
        <v>3487</v>
      </c>
      <c r="E397" s="36"/>
      <c r="F397" s="36"/>
      <c r="G397" t="s" s="90">
        <v>3830</v>
      </c>
      <c r="H397" s="30"/>
      <c r="I397" s="6"/>
      <c r="J397" s="7"/>
    </row>
    <row r="398" ht="22" customHeight="1">
      <c r="A398" t="s" s="94">
        <v>3839</v>
      </c>
      <c r="B398" t="s" s="126">
        <v>3487</v>
      </c>
      <c r="C398" t="s" s="126">
        <v>3487</v>
      </c>
      <c r="D398" t="s" s="126">
        <v>3487</v>
      </c>
      <c r="E398" s="36"/>
      <c r="F398" s="36"/>
      <c r="G398" t="s" s="90">
        <v>3830</v>
      </c>
      <c r="H398" s="30"/>
      <c r="I398" s="6"/>
      <c r="J398" s="7"/>
    </row>
    <row r="399" ht="22" customHeight="1">
      <c r="A399" t="s" s="94">
        <v>3840</v>
      </c>
      <c r="B399" t="s" s="126">
        <v>3487</v>
      </c>
      <c r="C399" t="s" s="126">
        <v>3487</v>
      </c>
      <c r="D399" t="s" s="126">
        <v>3487</v>
      </c>
      <c r="E399" s="36"/>
      <c r="F399" s="36"/>
      <c r="G399" t="s" s="90">
        <v>3830</v>
      </c>
      <c r="H399" s="30"/>
      <c r="I399" s="6"/>
      <c r="J399" s="7"/>
    </row>
    <row r="400" ht="22" customHeight="1">
      <c r="A400" t="s" s="94">
        <v>3841</v>
      </c>
      <c r="B400" t="s" s="126">
        <v>3487</v>
      </c>
      <c r="C400" t="s" s="126">
        <v>3487</v>
      </c>
      <c r="D400" t="s" s="126">
        <v>3487</v>
      </c>
      <c r="E400" s="36"/>
      <c r="F400" s="36"/>
      <c r="G400" t="s" s="90">
        <v>3830</v>
      </c>
      <c r="H400" s="30"/>
      <c r="I400" s="6"/>
      <c r="J400" s="7"/>
    </row>
    <row r="401" ht="22" customHeight="1">
      <c r="A401" t="s" s="94">
        <v>3842</v>
      </c>
      <c r="B401" t="s" s="126">
        <v>3487</v>
      </c>
      <c r="C401" t="s" s="126">
        <v>3487</v>
      </c>
      <c r="D401" t="s" s="126">
        <v>3487</v>
      </c>
      <c r="E401" s="36"/>
      <c r="F401" s="36"/>
      <c r="G401" t="s" s="90">
        <v>3830</v>
      </c>
      <c r="H401" s="30"/>
      <c r="I401" s="6"/>
      <c r="J401" s="7"/>
    </row>
    <row r="402" ht="22" customHeight="1">
      <c r="A402" t="s" s="94">
        <v>3843</v>
      </c>
      <c r="B402" t="s" s="126">
        <v>3487</v>
      </c>
      <c r="C402" t="s" s="126">
        <v>3487</v>
      </c>
      <c r="D402" t="s" s="126">
        <v>3487</v>
      </c>
      <c r="E402" s="36"/>
      <c r="F402" s="36"/>
      <c r="G402" t="s" s="90">
        <v>3830</v>
      </c>
      <c r="H402" s="30"/>
      <c r="I402" s="6"/>
      <c r="J402" s="7"/>
    </row>
    <row r="403" ht="22" customHeight="1">
      <c r="A403" t="s" s="94">
        <v>3844</v>
      </c>
      <c r="B403" t="s" s="126">
        <v>3487</v>
      </c>
      <c r="C403" t="s" s="126">
        <v>3487</v>
      </c>
      <c r="D403" t="s" s="126">
        <v>3487</v>
      </c>
      <c r="E403" s="36"/>
      <c r="F403" s="36"/>
      <c r="G403" t="s" s="90">
        <v>3830</v>
      </c>
      <c r="H403" s="30"/>
      <c r="I403" s="6"/>
      <c r="J403" s="7"/>
    </row>
    <row r="404" ht="22" customHeight="1">
      <c r="A404" t="s" s="94">
        <v>3845</v>
      </c>
      <c r="B404" t="s" s="126">
        <v>3487</v>
      </c>
      <c r="C404" t="s" s="126">
        <v>3487</v>
      </c>
      <c r="D404" t="s" s="126">
        <v>3487</v>
      </c>
      <c r="E404" s="36"/>
      <c r="F404" s="36"/>
      <c r="G404" t="s" s="90">
        <v>3830</v>
      </c>
      <c r="H404" s="30"/>
      <c r="I404" s="6"/>
      <c r="J404" s="7"/>
    </row>
    <row r="405" ht="22" customHeight="1">
      <c r="A405" t="s" s="94">
        <v>3846</v>
      </c>
      <c r="B405" t="s" s="126">
        <v>3487</v>
      </c>
      <c r="C405" t="s" s="126">
        <v>3487</v>
      </c>
      <c r="D405" t="s" s="126">
        <v>3487</v>
      </c>
      <c r="E405" s="36"/>
      <c r="F405" s="36"/>
      <c r="G405" t="s" s="90">
        <v>3830</v>
      </c>
      <c r="H405" s="30"/>
      <c r="I405" s="6"/>
      <c r="J405" s="7"/>
    </row>
    <row r="406" ht="22" customHeight="1">
      <c r="A406" t="s" s="94">
        <v>3847</v>
      </c>
      <c r="B406" t="s" s="126">
        <v>3487</v>
      </c>
      <c r="C406" t="s" s="126">
        <v>3487</v>
      </c>
      <c r="D406" t="s" s="126">
        <v>3487</v>
      </c>
      <c r="E406" s="36"/>
      <c r="F406" s="36"/>
      <c r="G406" t="s" s="90">
        <v>3830</v>
      </c>
      <c r="H406" s="30"/>
      <c r="I406" s="6"/>
      <c r="J406" s="7"/>
    </row>
    <row r="407" ht="22" customHeight="1">
      <c r="A407" t="s" s="94">
        <v>3848</v>
      </c>
      <c r="B407" t="s" s="126">
        <v>3487</v>
      </c>
      <c r="C407" t="s" s="126">
        <v>3487</v>
      </c>
      <c r="D407" t="s" s="126">
        <v>3487</v>
      </c>
      <c r="E407" s="36"/>
      <c r="F407" s="36"/>
      <c r="G407" t="s" s="90">
        <v>3830</v>
      </c>
      <c r="H407" s="30"/>
      <c r="I407" s="6"/>
      <c r="J407" s="7"/>
    </row>
    <row r="408" ht="22" customHeight="1">
      <c r="A408" t="s" s="94">
        <v>3849</v>
      </c>
      <c r="B408" t="s" s="126">
        <v>3487</v>
      </c>
      <c r="C408" t="s" s="126">
        <v>3487</v>
      </c>
      <c r="D408" t="s" s="126">
        <v>3487</v>
      </c>
      <c r="E408" s="36"/>
      <c r="F408" s="36"/>
      <c r="G408" t="s" s="90">
        <v>3830</v>
      </c>
      <c r="H408" s="30"/>
      <c r="I408" s="6"/>
      <c r="J408" s="7"/>
    </row>
    <row r="409" ht="22" customHeight="1">
      <c r="A409" t="s" s="94">
        <v>3850</v>
      </c>
      <c r="B409" t="s" s="126">
        <v>3487</v>
      </c>
      <c r="C409" t="s" s="126">
        <v>3487</v>
      </c>
      <c r="D409" t="s" s="126">
        <v>3487</v>
      </c>
      <c r="E409" s="36"/>
      <c r="F409" s="36"/>
      <c r="G409" t="s" s="90">
        <v>3830</v>
      </c>
      <c r="H409" s="30"/>
      <c r="I409" s="6"/>
      <c r="J409" s="7"/>
    </row>
    <row r="410" ht="22" customHeight="1">
      <c r="A410" t="s" s="94">
        <v>3851</v>
      </c>
      <c r="B410" t="s" s="126">
        <v>3487</v>
      </c>
      <c r="C410" t="s" s="126">
        <v>3487</v>
      </c>
      <c r="D410" t="s" s="126">
        <v>3487</v>
      </c>
      <c r="E410" s="36"/>
      <c r="F410" s="36"/>
      <c r="G410" t="s" s="90">
        <v>3830</v>
      </c>
      <c r="H410" s="30"/>
      <c r="I410" s="6"/>
      <c r="J410" s="7"/>
    </row>
    <row r="411" ht="22" customHeight="1">
      <c r="A411" t="s" s="94">
        <v>3852</v>
      </c>
      <c r="B411" t="s" s="126">
        <v>3487</v>
      </c>
      <c r="C411" t="s" s="126">
        <v>3487</v>
      </c>
      <c r="D411" t="s" s="126">
        <v>3487</v>
      </c>
      <c r="E411" s="36"/>
      <c r="F411" s="36"/>
      <c r="G411" t="s" s="90">
        <v>3830</v>
      </c>
      <c r="H411" s="30"/>
      <c r="I411" s="6"/>
      <c r="J411" s="7"/>
    </row>
    <row r="412" ht="22" customHeight="1">
      <c r="A412" t="s" s="94">
        <v>3853</v>
      </c>
      <c r="B412" t="s" s="126">
        <v>3487</v>
      </c>
      <c r="C412" t="s" s="126">
        <v>3487</v>
      </c>
      <c r="D412" t="s" s="126">
        <v>3487</v>
      </c>
      <c r="E412" s="36"/>
      <c r="F412" s="36"/>
      <c r="G412" t="s" s="90">
        <v>3830</v>
      </c>
      <c r="H412" s="30"/>
      <c r="I412" s="6"/>
      <c r="J412" s="7"/>
    </row>
    <row r="413" ht="22" customHeight="1">
      <c r="A413" t="s" s="94">
        <v>3854</v>
      </c>
      <c r="B413" t="s" s="126">
        <v>3487</v>
      </c>
      <c r="C413" t="s" s="126">
        <v>3487</v>
      </c>
      <c r="D413" t="s" s="126">
        <v>3487</v>
      </c>
      <c r="E413" s="36"/>
      <c r="F413" s="36"/>
      <c r="G413" t="s" s="90">
        <v>3830</v>
      </c>
      <c r="H413" s="30"/>
      <c r="I413" s="6"/>
      <c r="J413" s="7"/>
    </row>
    <row r="414" ht="22" customHeight="1">
      <c r="A414" t="s" s="94">
        <v>3855</v>
      </c>
      <c r="B414" t="s" s="126">
        <v>3487</v>
      </c>
      <c r="C414" t="s" s="126">
        <v>3487</v>
      </c>
      <c r="D414" t="s" s="126">
        <v>3487</v>
      </c>
      <c r="E414" s="36"/>
      <c r="F414" s="36"/>
      <c r="G414" t="s" s="90">
        <v>3830</v>
      </c>
      <c r="H414" s="30"/>
      <c r="I414" s="6"/>
      <c r="J414" s="7"/>
    </row>
    <row r="415" ht="22" customHeight="1">
      <c r="A415" t="s" s="94">
        <v>3856</v>
      </c>
      <c r="B415" t="s" s="126">
        <v>3487</v>
      </c>
      <c r="C415" t="s" s="126">
        <v>3487</v>
      </c>
      <c r="D415" t="s" s="126">
        <v>3487</v>
      </c>
      <c r="E415" s="36"/>
      <c r="F415" s="36"/>
      <c r="G415" t="s" s="90">
        <v>3830</v>
      </c>
      <c r="H415" s="30"/>
      <c r="I415" s="6"/>
      <c r="J415" s="7"/>
    </row>
    <row r="416" ht="22" customHeight="1">
      <c r="A416" t="s" s="94">
        <v>3857</v>
      </c>
      <c r="B416" t="s" s="126">
        <v>3487</v>
      </c>
      <c r="C416" t="s" s="126">
        <v>3487</v>
      </c>
      <c r="D416" t="s" s="126">
        <v>3487</v>
      </c>
      <c r="E416" s="36"/>
      <c r="F416" s="36"/>
      <c r="G416" t="s" s="90">
        <v>3830</v>
      </c>
      <c r="H416" s="30"/>
      <c r="I416" s="6"/>
      <c r="J416" s="7"/>
    </row>
    <row r="417" ht="22" customHeight="1">
      <c r="A417" t="s" s="94">
        <v>3858</v>
      </c>
      <c r="B417" t="s" s="126">
        <v>3487</v>
      </c>
      <c r="C417" t="s" s="126">
        <v>3487</v>
      </c>
      <c r="D417" t="s" s="126">
        <v>3487</v>
      </c>
      <c r="E417" s="36"/>
      <c r="F417" s="36"/>
      <c r="G417" t="s" s="90">
        <v>3830</v>
      </c>
      <c r="H417" s="30"/>
      <c r="I417" s="6"/>
      <c r="J417" s="7"/>
    </row>
    <row r="418" ht="22" customHeight="1">
      <c r="A418" t="s" s="94">
        <v>3859</v>
      </c>
      <c r="B418" t="s" s="126">
        <v>3487</v>
      </c>
      <c r="C418" t="s" s="126">
        <v>3487</v>
      </c>
      <c r="D418" t="s" s="126">
        <v>3487</v>
      </c>
      <c r="E418" s="36"/>
      <c r="F418" s="36"/>
      <c r="G418" t="s" s="90">
        <v>3830</v>
      </c>
      <c r="H418" s="30"/>
      <c r="I418" s="6"/>
      <c r="J418" s="7"/>
    </row>
    <row r="419" ht="22" customHeight="1">
      <c r="A419" t="s" s="94">
        <v>3860</v>
      </c>
      <c r="B419" t="s" s="126">
        <v>3487</v>
      </c>
      <c r="C419" t="s" s="126">
        <v>3487</v>
      </c>
      <c r="D419" t="s" s="126">
        <v>3487</v>
      </c>
      <c r="E419" s="36"/>
      <c r="F419" s="36"/>
      <c r="G419" t="s" s="90">
        <v>3830</v>
      </c>
      <c r="H419" s="30"/>
      <c r="I419" s="6"/>
      <c r="J419" s="7"/>
    </row>
    <row r="420" ht="22" customHeight="1">
      <c r="A420" t="s" s="94">
        <v>3861</v>
      </c>
      <c r="B420" t="s" s="126">
        <v>3487</v>
      </c>
      <c r="C420" t="s" s="126">
        <v>3487</v>
      </c>
      <c r="D420" t="s" s="126">
        <v>3487</v>
      </c>
      <c r="E420" s="36"/>
      <c r="F420" s="36"/>
      <c r="G420" t="s" s="90">
        <v>3830</v>
      </c>
      <c r="H420" s="30"/>
      <c r="I420" s="6"/>
      <c r="J420" s="7"/>
    </row>
    <row r="421" ht="22" customHeight="1">
      <c r="A421" t="s" s="94">
        <v>3862</v>
      </c>
      <c r="B421" t="s" s="126">
        <v>3487</v>
      </c>
      <c r="C421" t="s" s="126">
        <v>3487</v>
      </c>
      <c r="D421" t="s" s="126">
        <v>3487</v>
      </c>
      <c r="E421" s="36"/>
      <c r="F421" s="36"/>
      <c r="G421" t="s" s="90">
        <v>3830</v>
      </c>
      <c r="H421" s="30"/>
      <c r="I421" s="6"/>
      <c r="J421" s="7"/>
    </row>
    <row r="422" ht="22" customHeight="1">
      <c r="A422" t="s" s="94">
        <v>3863</v>
      </c>
      <c r="B422" t="s" s="126">
        <v>3487</v>
      </c>
      <c r="C422" t="s" s="126">
        <v>3487</v>
      </c>
      <c r="D422" t="s" s="126">
        <v>3487</v>
      </c>
      <c r="E422" s="36"/>
      <c r="F422" s="36"/>
      <c r="G422" t="s" s="90">
        <v>3830</v>
      </c>
      <c r="H422" s="30"/>
      <c r="I422" s="6"/>
      <c r="J422" s="7"/>
    </row>
    <row r="423" ht="22" customHeight="1">
      <c r="A423" t="s" s="94">
        <v>3864</v>
      </c>
      <c r="B423" t="s" s="126">
        <v>3487</v>
      </c>
      <c r="C423" t="s" s="126">
        <v>3487</v>
      </c>
      <c r="D423" t="s" s="126">
        <v>3487</v>
      </c>
      <c r="E423" s="36"/>
      <c r="F423" s="36"/>
      <c r="G423" t="s" s="90">
        <v>3830</v>
      </c>
      <c r="H423" s="30"/>
      <c r="I423" s="6"/>
      <c r="J423" s="7"/>
    </row>
    <row r="424" ht="22" customHeight="1">
      <c r="A424" t="s" s="94">
        <v>3865</v>
      </c>
      <c r="B424" t="s" s="126">
        <v>3487</v>
      </c>
      <c r="C424" t="s" s="126">
        <v>3487</v>
      </c>
      <c r="D424" t="s" s="126">
        <v>3487</v>
      </c>
      <c r="E424" s="36"/>
      <c r="F424" s="36"/>
      <c r="G424" t="s" s="90">
        <v>3830</v>
      </c>
      <c r="H424" s="30"/>
      <c r="I424" s="6"/>
      <c r="J424" s="7"/>
    </row>
    <row r="425" ht="22" customHeight="1">
      <c r="A425" t="s" s="94">
        <v>3866</v>
      </c>
      <c r="B425" t="s" s="126">
        <v>3487</v>
      </c>
      <c r="C425" t="s" s="126">
        <v>3487</v>
      </c>
      <c r="D425" t="s" s="126">
        <v>3487</v>
      </c>
      <c r="E425" s="36"/>
      <c r="F425" s="36"/>
      <c r="G425" t="s" s="90">
        <v>3830</v>
      </c>
      <c r="H425" s="30"/>
      <c r="I425" s="6"/>
      <c r="J425" s="7"/>
    </row>
    <row r="426" ht="22" customHeight="1">
      <c r="A426" t="s" s="94">
        <v>3867</v>
      </c>
      <c r="B426" t="s" s="126">
        <v>3487</v>
      </c>
      <c r="C426" t="s" s="126">
        <v>3487</v>
      </c>
      <c r="D426" t="s" s="126">
        <v>3487</v>
      </c>
      <c r="E426" s="36"/>
      <c r="F426" s="36"/>
      <c r="G426" t="s" s="90">
        <v>3830</v>
      </c>
      <c r="H426" s="30"/>
      <c r="I426" s="6"/>
      <c r="J426" s="7"/>
    </row>
    <row r="427" ht="22" customHeight="1">
      <c r="A427" t="s" s="94">
        <v>3502</v>
      </c>
      <c r="B427" t="s" s="126">
        <v>3487</v>
      </c>
      <c r="C427" t="s" s="126">
        <v>3487</v>
      </c>
      <c r="D427" t="s" s="126">
        <v>3487</v>
      </c>
      <c r="E427" s="36"/>
      <c r="F427" s="36"/>
      <c r="G427" t="s" s="90">
        <v>3830</v>
      </c>
      <c r="H427" s="30"/>
      <c r="I427" s="6"/>
      <c r="J427" s="7"/>
    </row>
    <row r="428" ht="22" customHeight="1">
      <c r="A428" t="s" s="94">
        <v>3868</v>
      </c>
      <c r="B428" t="s" s="126">
        <v>3487</v>
      </c>
      <c r="C428" t="s" s="126">
        <v>3487</v>
      </c>
      <c r="D428" t="s" s="126">
        <v>3487</v>
      </c>
      <c r="E428" s="36"/>
      <c r="F428" s="36"/>
      <c r="G428" t="s" s="90">
        <v>3830</v>
      </c>
      <c r="H428" s="30"/>
      <c r="I428" s="6"/>
      <c r="J428" s="7"/>
    </row>
    <row r="429" ht="22" customHeight="1">
      <c r="A429" t="s" s="94">
        <v>3869</v>
      </c>
      <c r="B429" t="s" s="126">
        <v>3487</v>
      </c>
      <c r="C429" t="s" s="126">
        <v>3487</v>
      </c>
      <c r="D429" t="s" s="126">
        <v>3487</v>
      </c>
      <c r="E429" s="36"/>
      <c r="F429" s="36"/>
      <c r="G429" t="s" s="90">
        <v>3830</v>
      </c>
      <c r="H429" s="30"/>
      <c r="I429" s="6"/>
      <c r="J429" s="7"/>
    </row>
    <row r="430" ht="22" customHeight="1">
      <c r="A430" t="s" s="94">
        <v>3870</v>
      </c>
      <c r="B430" t="s" s="126">
        <v>3487</v>
      </c>
      <c r="C430" t="s" s="126">
        <v>3487</v>
      </c>
      <c r="D430" t="s" s="126">
        <v>3487</v>
      </c>
      <c r="E430" s="36"/>
      <c r="F430" s="36"/>
      <c r="G430" t="s" s="90">
        <v>3830</v>
      </c>
      <c r="H430" s="30"/>
      <c r="I430" s="6"/>
      <c r="J430" s="7"/>
    </row>
    <row r="431" ht="22" customHeight="1">
      <c r="A431" t="s" s="94">
        <v>3871</v>
      </c>
      <c r="B431" t="s" s="126">
        <v>3487</v>
      </c>
      <c r="C431" t="s" s="126">
        <v>3487</v>
      </c>
      <c r="D431" t="s" s="126">
        <v>3487</v>
      </c>
      <c r="E431" s="36"/>
      <c r="F431" s="36"/>
      <c r="G431" t="s" s="90">
        <v>3830</v>
      </c>
      <c r="H431" s="30"/>
      <c r="I431" s="6"/>
      <c r="J431" s="7"/>
    </row>
    <row r="432" ht="22" customHeight="1">
      <c r="A432" t="s" s="94">
        <v>3872</v>
      </c>
      <c r="B432" t="s" s="126">
        <v>3487</v>
      </c>
      <c r="C432" t="s" s="126">
        <v>3487</v>
      </c>
      <c r="D432" t="s" s="126">
        <v>3487</v>
      </c>
      <c r="E432" s="36"/>
      <c r="F432" s="36"/>
      <c r="G432" t="s" s="90">
        <v>3830</v>
      </c>
      <c r="H432" s="30"/>
      <c r="I432" s="6"/>
      <c r="J432" s="7"/>
    </row>
    <row r="433" ht="22" customHeight="1">
      <c r="A433" t="s" s="94">
        <v>3873</v>
      </c>
      <c r="B433" t="s" s="126">
        <v>3487</v>
      </c>
      <c r="C433" t="s" s="126">
        <v>3487</v>
      </c>
      <c r="D433" t="s" s="126">
        <v>3487</v>
      </c>
      <c r="E433" s="36"/>
      <c r="F433" s="36"/>
      <c r="G433" t="s" s="90">
        <v>3830</v>
      </c>
      <c r="H433" s="30"/>
      <c r="I433" s="6"/>
      <c r="J433" s="7"/>
    </row>
    <row r="434" ht="22" customHeight="1">
      <c r="A434" t="s" s="94">
        <v>3874</v>
      </c>
      <c r="B434" t="s" s="126">
        <v>3487</v>
      </c>
      <c r="C434" t="s" s="126">
        <v>3487</v>
      </c>
      <c r="D434" t="s" s="126">
        <v>3487</v>
      </c>
      <c r="E434" s="36"/>
      <c r="F434" s="36"/>
      <c r="G434" t="s" s="90">
        <v>3830</v>
      </c>
      <c r="H434" s="30"/>
      <c r="I434" s="6"/>
      <c r="J434" s="7"/>
    </row>
    <row r="435" ht="22" customHeight="1">
      <c r="A435" t="s" s="94">
        <v>3875</v>
      </c>
      <c r="B435" t="s" s="126">
        <v>3487</v>
      </c>
      <c r="C435" t="s" s="126">
        <v>3487</v>
      </c>
      <c r="D435" t="s" s="126">
        <v>3487</v>
      </c>
      <c r="E435" s="36"/>
      <c r="F435" s="36"/>
      <c r="G435" t="s" s="90">
        <v>3830</v>
      </c>
      <c r="H435" s="30"/>
      <c r="I435" s="6"/>
      <c r="J435" s="7"/>
    </row>
    <row r="436" ht="22" customHeight="1">
      <c r="A436" t="s" s="94">
        <v>3876</v>
      </c>
      <c r="B436" t="s" s="126">
        <v>3487</v>
      </c>
      <c r="C436" t="s" s="126">
        <v>3487</v>
      </c>
      <c r="D436" t="s" s="126">
        <v>3487</v>
      </c>
      <c r="E436" s="36"/>
      <c r="F436" s="36"/>
      <c r="G436" t="s" s="90">
        <v>3830</v>
      </c>
      <c r="H436" s="30"/>
      <c r="I436" s="6"/>
      <c r="J436" s="7"/>
    </row>
    <row r="437" ht="22" customHeight="1">
      <c r="A437" t="s" s="94">
        <v>3525</v>
      </c>
      <c r="B437" t="s" s="126">
        <v>3487</v>
      </c>
      <c r="C437" t="s" s="126">
        <v>3487</v>
      </c>
      <c r="D437" t="s" s="126">
        <v>3487</v>
      </c>
      <c r="E437" s="36"/>
      <c r="F437" s="36"/>
      <c r="G437" t="s" s="90">
        <v>3830</v>
      </c>
      <c r="H437" s="30"/>
      <c r="I437" s="6"/>
      <c r="J437" s="7"/>
    </row>
    <row r="438" ht="22" customHeight="1">
      <c r="A438" t="s" s="94">
        <v>3877</v>
      </c>
      <c r="B438" t="s" s="126">
        <v>3487</v>
      </c>
      <c r="C438" t="s" s="126">
        <v>3487</v>
      </c>
      <c r="D438" t="s" s="126">
        <v>3487</v>
      </c>
      <c r="E438" s="36"/>
      <c r="F438" s="36"/>
      <c r="G438" t="s" s="90">
        <v>3830</v>
      </c>
      <c r="H438" s="30"/>
      <c r="I438" s="6"/>
      <c r="J438" s="7"/>
    </row>
    <row r="439" ht="22" customHeight="1">
      <c r="A439" t="s" s="94">
        <v>3878</v>
      </c>
      <c r="B439" t="s" s="126">
        <v>3487</v>
      </c>
      <c r="C439" t="s" s="126">
        <v>3487</v>
      </c>
      <c r="D439" t="s" s="126">
        <v>3487</v>
      </c>
      <c r="E439" s="36"/>
      <c r="F439" s="36"/>
      <c r="G439" t="s" s="90">
        <v>3830</v>
      </c>
      <c r="H439" s="30"/>
      <c r="I439" s="6"/>
      <c r="J439" s="7"/>
    </row>
    <row r="440" ht="22" customHeight="1">
      <c r="A440" t="s" s="94">
        <v>3879</v>
      </c>
      <c r="B440" t="s" s="126">
        <v>3487</v>
      </c>
      <c r="C440" t="s" s="126">
        <v>3487</v>
      </c>
      <c r="D440" t="s" s="126">
        <v>3487</v>
      </c>
      <c r="E440" s="36"/>
      <c r="F440" s="36"/>
      <c r="G440" t="s" s="90">
        <v>3830</v>
      </c>
      <c r="H440" s="30"/>
      <c r="I440" s="6"/>
      <c r="J440" s="7"/>
    </row>
    <row r="441" ht="22" customHeight="1">
      <c r="A441" t="s" s="94">
        <v>3880</v>
      </c>
      <c r="B441" t="s" s="126">
        <v>3487</v>
      </c>
      <c r="C441" t="s" s="126">
        <v>3487</v>
      </c>
      <c r="D441" t="s" s="126">
        <v>3487</v>
      </c>
      <c r="E441" s="36"/>
      <c r="F441" s="36"/>
      <c r="G441" t="s" s="90">
        <v>3830</v>
      </c>
      <c r="H441" s="30"/>
      <c r="I441" s="6"/>
      <c r="J441" s="7"/>
    </row>
    <row r="442" ht="22" customHeight="1">
      <c r="A442" t="s" s="94">
        <v>3881</v>
      </c>
      <c r="B442" t="s" s="126">
        <v>3487</v>
      </c>
      <c r="C442" t="s" s="126">
        <v>3487</v>
      </c>
      <c r="D442" t="s" s="126">
        <v>3487</v>
      </c>
      <c r="E442" s="36"/>
      <c r="F442" s="36"/>
      <c r="G442" t="s" s="90">
        <v>3830</v>
      </c>
      <c r="H442" s="30"/>
      <c r="I442" s="6"/>
      <c r="J442" s="7"/>
    </row>
    <row r="443" ht="22" customHeight="1">
      <c r="A443" t="s" s="94">
        <v>3882</v>
      </c>
      <c r="B443" t="s" s="126">
        <v>3487</v>
      </c>
      <c r="C443" t="s" s="126">
        <v>3487</v>
      </c>
      <c r="D443" t="s" s="126">
        <v>3487</v>
      </c>
      <c r="E443" s="36"/>
      <c r="F443" s="36"/>
      <c r="G443" t="s" s="90">
        <v>3830</v>
      </c>
      <c r="H443" s="30"/>
      <c r="I443" s="6"/>
      <c r="J443" s="7"/>
    </row>
    <row r="444" ht="22" customHeight="1">
      <c r="A444" t="s" s="94">
        <v>3883</v>
      </c>
      <c r="B444" t="s" s="126">
        <v>3487</v>
      </c>
      <c r="C444" t="s" s="126">
        <v>3487</v>
      </c>
      <c r="D444" t="s" s="126">
        <v>3487</v>
      </c>
      <c r="E444" s="36"/>
      <c r="F444" s="36"/>
      <c r="G444" t="s" s="90">
        <v>3830</v>
      </c>
      <c r="H444" s="30"/>
      <c r="I444" s="6"/>
      <c r="J444" s="7"/>
    </row>
    <row r="445" ht="22" customHeight="1">
      <c r="A445" t="s" s="94">
        <v>3884</v>
      </c>
      <c r="B445" t="s" s="126">
        <v>3487</v>
      </c>
      <c r="C445" t="s" s="126">
        <v>3487</v>
      </c>
      <c r="D445" t="s" s="126">
        <v>3487</v>
      </c>
      <c r="E445" s="36"/>
      <c r="F445" s="36"/>
      <c r="G445" t="s" s="90">
        <v>3830</v>
      </c>
      <c r="H445" s="30"/>
      <c r="I445" s="6"/>
      <c r="J445" s="7"/>
    </row>
    <row r="446" ht="22" customHeight="1">
      <c r="A446" t="s" s="94">
        <v>3885</v>
      </c>
      <c r="B446" t="s" s="126">
        <v>3487</v>
      </c>
      <c r="C446" t="s" s="126">
        <v>3487</v>
      </c>
      <c r="D446" t="s" s="126">
        <v>3487</v>
      </c>
      <c r="E446" s="36"/>
      <c r="F446" s="36"/>
      <c r="G446" t="s" s="90">
        <v>3830</v>
      </c>
      <c r="H446" s="30"/>
      <c r="I446" s="6"/>
      <c r="J446" s="7"/>
    </row>
    <row r="447" ht="22" customHeight="1">
      <c r="A447" t="s" s="94">
        <v>3886</v>
      </c>
      <c r="B447" t="s" s="126">
        <v>3487</v>
      </c>
      <c r="C447" t="s" s="126">
        <v>3487</v>
      </c>
      <c r="D447" t="s" s="126">
        <v>3487</v>
      </c>
      <c r="E447" s="36"/>
      <c r="F447" s="36"/>
      <c r="G447" t="s" s="90">
        <v>3830</v>
      </c>
      <c r="H447" s="30"/>
      <c r="I447" s="6"/>
      <c r="J447" s="7"/>
    </row>
    <row r="448" ht="22" customHeight="1">
      <c r="A448" t="s" s="94">
        <v>3887</v>
      </c>
      <c r="B448" t="s" s="126">
        <v>3487</v>
      </c>
      <c r="C448" t="s" s="126">
        <v>3487</v>
      </c>
      <c r="D448" t="s" s="126">
        <v>3487</v>
      </c>
      <c r="E448" s="36"/>
      <c r="F448" s="36"/>
      <c r="G448" t="s" s="90">
        <v>3830</v>
      </c>
      <c r="H448" s="30"/>
      <c r="I448" s="6"/>
      <c r="J448" s="7"/>
    </row>
    <row r="449" ht="22" customHeight="1">
      <c r="A449" t="s" s="94">
        <v>3888</v>
      </c>
      <c r="B449" t="s" s="126">
        <v>3487</v>
      </c>
      <c r="C449" t="s" s="126">
        <v>3487</v>
      </c>
      <c r="D449" t="s" s="126">
        <v>3487</v>
      </c>
      <c r="E449" s="36"/>
      <c r="F449" s="36"/>
      <c r="G449" t="s" s="90">
        <v>3830</v>
      </c>
      <c r="H449" s="30"/>
      <c r="I449" s="6"/>
      <c r="J449" s="7"/>
    </row>
    <row r="450" ht="22" customHeight="1">
      <c r="A450" t="s" s="94">
        <v>3889</v>
      </c>
      <c r="B450" t="s" s="126">
        <v>3487</v>
      </c>
      <c r="C450" t="s" s="126">
        <v>3487</v>
      </c>
      <c r="D450" t="s" s="126">
        <v>3487</v>
      </c>
      <c r="E450" s="36"/>
      <c r="F450" s="36"/>
      <c r="G450" t="s" s="90">
        <v>3830</v>
      </c>
      <c r="H450" s="30"/>
      <c r="I450" s="6"/>
      <c r="J450" s="7"/>
    </row>
    <row r="451" ht="22" customHeight="1">
      <c r="A451" t="s" s="94">
        <v>3890</v>
      </c>
      <c r="B451" t="s" s="126">
        <v>3487</v>
      </c>
      <c r="C451" t="s" s="126">
        <v>3487</v>
      </c>
      <c r="D451" t="s" s="126">
        <v>3487</v>
      </c>
      <c r="E451" s="36"/>
      <c r="F451" s="36"/>
      <c r="G451" t="s" s="90">
        <v>3830</v>
      </c>
      <c r="H451" s="30"/>
      <c r="I451" s="6"/>
      <c r="J451" s="7"/>
    </row>
    <row r="452" ht="22" customHeight="1">
      <c r="A452" t="s" s="94">
        <v>3891</v>
      </c>
      <c r="B452" t="s" s="126">
        <v>3487</v>
      </c>
      <c r="C452" t="s" s="126">
        <v>3487</v>
      </c>
      <c r="D452" t="s" s="126">
        <v>3487</v>
      </c>
      <c r="E452" s="36"/>
      <c r="F452" s="36"/>
      <c r="G452" t="s" s="90">
        <v>3830</v>
      </c>
      <c r="H452" s="30"/>
      <c r="I452" s="6"/>
      <c r="J452" s="7"/>
    </row>
    <row r="453" ht="22" customHeight="1">
      <c r="A453" t="s" s="94">
        <v>3892</v>
      </c>
      <c r="B453" t="s" s="126">
        <v>3487</v>
      </c>
      <c r="C453" t="s" s="126">
        <v>3487</v>
      </c>
      <c r="D453" t="s" s="126">
        <v>3487</v>
      </c>
      <c r="E453" s="36"/>
      <c r="F453" s="36"/>
      <c r="G453" t="s" s="90">
        <v>3830</v>
      </c>
      <c r="H453" s="30"/>
      <c r="I453" s="6"/>
      <c r="J453" s="7"/>
    </row>
    <row r="454" ht="22" customHeight="1">
      <c r="A454" t="s" s="94">
        <v>3893</v>
      </c>
      <c r="B454" t="s" s="126">
        <v>3487</v>
      </c>
      <c r="C454" t="s" s="126">
        <v>3487</v>
      </c>
      <c r="D454" t="s" s="126">
        <v>3487</v>
      </c>
      <c r="E454" s="36"/>
      <c r="F454" s="36"/>
      <c r="G454" t="s" s="90">
        <v>3830</v>
      </c>
      <c r="H454" s="30"/>
      <c r="I454" s="6"/>
      <c r="J454" s="7"/>
    </row>
    <row r="455" ht="22" customHeight="1">
      <c r="A455" t="s" s="94">
        <v>3894</v>
      </c>
      <c r="B455" t="s" s="126">
        <v>3487</v>
      </c>
      <c r="C455" t="s" s="126">
        <v>3487</v>
      </c>
      <c r="D455" t="s" s="126">
        <v>3487</v>
      </c>
      <c r="E455" s="36"/>
      <c r="F455" s="36"/>
      <c r="G455" t="s" s="90">
        <v>3830</v>
      </c>
      <c r="H455" s="30"/>
      <c r="I455" s="6"/>
      <c r="J455" s="7"/>
    </row>
    <row r="456" ht="22" customHeight="1">
      <c r="A456" t="s" s="94">
        <v>3895</v>
      </c>
      <c r="B456" t="s" s="126">
        <v>3487</v>
      </c>
      <c r="C456" t="s" s="126">
        <v>3487</v>
      </c>
      <c r="D456" t="s" s="126">
        <v>3487</v>
      </c>
      <c r="E456" s="36"/>
      <c r="F456" s="36"/>
      <c r="G456" t="s" s="90">
        <v>3830</v>
      </c>
      <c r="H456" s="30"/>
      <c r="I456" s="6"/>
      <c r="J456" s="7"/>
    </row>
    <row r="457" ht="22" customHeight="1">
      <c r="A457" t="s" s="94">
        <v>3896</v>
      </c>
      <c r="B457" t="s" s="126">
        <v>3487</v>
      </c>
      <c r="C457" t="s" s="126">
        <v>3487</v>
      </c>
      <c r="D457" t="s" s="126">
        <v>3487</v>
      </c>
      <c r="E457" s="36"/>
      <c r="F457" s="36"/>
      <c r="G457" t="s" s="90">
        <v>3830</v>
      </c>
      <c r="H457" s="30"/>
      <c r="I457" s="6"/>
      <c r="J457" s="7"/>
    </row>
    <row r="458" ht="22" customHeight="1">
      <c r="A458" t="s" s="94">
        <v>3897</v>
      </c>
      <c r="B458" t="s" s="126">
        <v>3487</v>
      </c>
      <c r="C458" t="s" s="126">
        <v>3487</v>
      </c>
      <c r="D458" t="s" s="126">
        <v>3487</v>
      </c>
      <c r="E458" s="36"/>
      <c r="F458" s="36"/>
      <c r="G458" t="s" s="90">
        <v>3830</v>
      </c>
      <c r="H458" s="30"/>
      <c r="I458" s="6"/>
      <c r="J458" s="7"/>
    </row>
    <row r="459" ht="22" customHeight="1">
      <c r="A459" t="s" s="94">
        <v>3898</v>
      </c>
      <c r="B459" t="s" s="126">
        <v>3487</v>
      </c>
      <c r="C459" t="s" s="126">
        <v>3487</v>
      </c>
      <c r="D459" t="s" s="126">
        <v>3487</v>
      </c>
      <c r="E459" s="36"/>
      <c r="F459" s="36"/>
      <c r="G459" t="s" s="90">
        <v>3830</v>
      </c>
      <c r="H459" s="30"/>
      <c r="I459" s="6"/>
      <c r="J459" s="7"/>
    </row>
    <row r="460" ht="22" customHeight="1">
      <c r="A460" t="s" s="94">
        <v>3899</v>
      </c>
      <c r="B460" t="s" s="126">
        <v>3487</v>
      </c>
      <c r="C460" t="s" s="126">
        <v>3487</v>
      </c>
      <c r="D460" t="s" s="126">
        <v>3487</v>
      </c>
      <c r="E460" s="36"/>
      <c r="F460" s="36"/>
      <c r="G460" t="s" s="90">
        <v>3830</v>
      </c>
      <c r="H460" s="30"/>
      <c r="I460" s="6"/>
      <c r="J460" s="7"/>
    </row>
    <row r="461" ht="22" customHeight="1">
      <c r="A461" t="s" s="94">
        <v>3900</v>
      </c>
      <c r="B461" t="s" s="126">
        <v>3487</v>
      </c>
      <c r="C461" t="s" s="126">
        <v>3487</v>
      </c>
      <c r="D461" t="s" s="126">
        <v>3487</v>
      </c>
      <c r="E461" s="36"/>
      <c r="F461" s="36"/>
      <c r="G461" t="s" s="90">
        <v>3830</v>
      </c>
      <c r="H461" s="30"/>
      <c r="I461" s="6"/>
      <c r="J461" s="7"/>
    </row>
    <row r="462" ht="22" customHeight="1">
      <c r="A462" t="s" s="94">
        <v>3901</v>
      </c>
      <c r="B462" t="s" s="126">
        <v>3487</v>
      </c>
      <c r="C462" t="s" s="126">
        <v>3487</v>
      </c>
      <c r="D462" t="s" s="126">
        <v>3487</v>
      </c>
      <c r="E462" s="36"/>
      <c r="F462" s="36"/>
      <c r="G462" t="s" s="90">
        <v>3830</v>
      </c>
      <c r="H462" s="30"/>
      <c r="I462" s="6"/>
      <c r="J462" s="7"/>
    </row>
    <row r="463" ht="22" customHeight="1">
      <c r="A463" t="s" s="94">
        <v>3902</v>
      </c>
      <c r="B463" t="s" s="126">
        <v>3487</v>
      </c>
      <c r="C463" t="s" s="126">
        <v>3487</v>
      </c>
      <c r="D463" t="s" s="126">
        <v>3487</v>
      </c>
      <c r="E463" s="36"/>
      <c r="F463" s="36"/>
      <c r="G463" t="s" s="90">
        <v>3830</v>
      </c>
      <c r="H463" s="30"/>
      <c r="I463" s="6"/>
      <c r="J463" s="7"/>
    </row>
    <row r="464" ht="22" customHeight="1">
      <c r="A464" t="s" s="94">
        <v>3903</v>
      </c>
      <c r="B464" t="s" s="126">
        <v>3487</v>
      </c>
      <c r="C464" t="s" s="126">
        <v>3487</v>
      </c>
      <c r="D464" t="s" s="126">
        <v>3487</v>
      </c>
      <c r="E464" s="36"/>
      <c r="F464" s="36"/>
      <c r="G464" t="s" s="90">
        <v>3830</v>
      </c>
      <c r="H464" s="30"/>
      <c r="I464" s="6"/>
      <c r="J464" s="7"/>
    </row>
    <row r="465" ht="22" customHeight="1">
      <c r="A465" t="s" s="94">
        <v>3904</v>
      </c>
      <c r="B465" t="s" s="126">
        <v>3487</v>
      </c>
      <c r="C465" t="s" s="126">
        <v>3487</v>
      </c>
      <c r="D465" t="s" s="126">
        <v>3487</v>
      </c>
      <c r="E465" s="36"/>
      <c r="F465" s="36"/>
      <c r="G465" t="s" s="90">
        <v>3830</v>
      </c>
      <c r="H465" s="30"/>
      <c r="I465" s="6"/>
      <c r="J465" s="7"/>
    </row>
    <row r="466" ht="22" customHeight="1">
      <c r="A466" t="s" s="94">
        <v>3905</v>
      </c>
      <c r="B466" t="s" s="126">
        <v>3487</v>
      </c>
      <c r="C466" t="s" s="126">
        <v>3487</v>
      </c>
      <c r="D466" t="s" s="126">
        <v>3487</v>
      </c>
      <c r="E466" s="36"/>
      <c r="F466" s="36"/>
      <c r="G466" t="s" s="90">
        <v>3830</v>
      </c>
      <c r="H466" s="30"/>
      <c r="I466" s="6"/>
      <c r="J466" s="7"/>
    </row>
    <row r="467" ht="22" customHeight="1">
      <c r="A467" t="s" s="94">
        <v>3906</v>
      </c>
      <c r="B467" t="s" s="126">
        <v>3487</v>
      </c>
      <c r="C467" t="s" s="126">
        <v>3487</v>
      </c>
      <c r="D467" t="s" s="126">
        <v>3487</v>
      </c>
      <c r="E467" s="36"/>
      <c r="F467" s="36"/>
      <c r="G467" t="s" s="90">
        <v>3830</v>
      </c>
      <c r="H467" s="30"/>
      <c r="I467" s="6"/>
      <c r="J467" s="7"/>
    </row>
    <row r="468" ht="22" customHeight="1">
      <c r="A468" t="s" s="94">
        <v>3907</v>
      </c>
      <c r="B468" t="s" s="126">
        <v>3487</v>
      </c>
      <c r="C468" t="s" s="126">
        <v>3487</v>
      </c>
      <c r="D468" t="s" s="126">
        <v>3487</v>
      </c>
      <c r="E468" s="36"/>
      <c r="F468" s="36"/>
      <c r="G468" t="s" s="90">
        <v>3830</v>
      </c>
      <c r="H468" s="30"/>
      <c r="I468" s="6"/>
      <c r="J468" s="7"/>
    </row>
    <row r="469" ht="22" customHeight="1">
      <c r="A469" t="s" s="94">
        <v>3908</v>
      </c>
      <c r="B469" t="s" s="126">
        <v>3487</v>
      </c>
      <c r="C469" t="s" s="126">
        <v>3487</v>
      </c>
      <c r="D469" t="s" s="126">
        <v>3487</v>
      </c>
      <c r="E469" s="36"/>
      <c r="F469" s="36"/>
      <c r="G469" t="s" s="90">
        <v>3830</v>
      </c>
      <c r="H469" s="30"/>
      <c r="I469" s="6"/>
      <c r="J469" s="7"/>
    </row>
    <row r="470" ht="26.25" customHeight="1">
      <c r="A470" t="s" s="94">
        <v>3909</v>
      </c>
      <c r="B470" t="s" s="126">
        <v>3487</v>
      </c>
      <c r="C470" t="s" s="126">
        <v>3487</v>
      </c>
      <c r="D470" t="s" s="126">
        <v>3487</v>
      </c>
      <c r="E470" s="36"/>
      <c r="F470" s="36"/>
      <c r="G470" t="s" s="90">
        <v>3830</v>
      </c>
      <c r="H470" s="30"/>
      <c r="I470" s="131" cm="1">
        <f t="array" ref="I470">389-470</f>
        <v>-81</v>
      </c>
      <c r="J470" s="7"/>
    </row>
    <row r="471" ht="26.25" customHeight="1">
      <c r="A471" t="s" s="133">
        <v>3910</v>
      </c>
      <c r="B471" s="134"/>
      <c r="C471" s="134"/>
      <c r="D471" s="134"/>
      <c r="E471" s="134"/>
      <c r="F471" s="134"/>
      <c r="G471" s="135"/>
      <c r="H471" s="30"/>
      <c r="I471" s="6"/>
      <c r="J471" s="7"/>
    </row>
    <row r="472" ht="33.75" customHeight="1">
      <c r="A472" s="136"/>
      <c r="B472" s="137"/>
      <c r="C472" s="137"/>
      <c r="D472" s="137"/>
      <c r="E472" s="137"/>
      <c r="F472" s="137"/>
      <c r="G472" s="138"/>
      <c r="H472" s="30"/>
      <c r="I472" s="6"/>
      <c r="J472" s="7"/>
    </row>
    <row r="473" ht="22" customHeight="1">
      <c r="A473" t="s" s="126">
        <v>3480</v>
      </c>
      <c r="B473" t="s" s="126">
        <v>3911</v>
      </c>
      <c r="C473" t="s" s="126">
        <v>3827</v>
      </c>
      <c r="D473" t="s" s="126">
        <v>3912</v>
      </c>
      <c r="E473" t="s" s="126">
        <v>60</v>
      </c>
      <c r="F473" t="s" s="126">
        <v>2963</v>
      </c>
      <c r="G473" t="s" s="90">
        <v>60</v>
      </c>
      <c r="H473" s="30"/>
      <c r="I473" s="6"/>
      <c r="J473" s="7"/>
    </row>
    <row r="474" ht="22" customHeight="1">
      <c r="A474" t="s" s="94">
        <v>3913</v>
      </c>
      <c r="B474" t="s" s="126">
        <v>3487</v>
      </c>
      <c r="C474" t="s" s="126">
        <v>3487</v>
      </c>
      <c r="D474" s="139">
        <v>1</v>
      </c>
      <c r="E474" s="36"/>
      <c r="F474" s="36"/>
      <c r="G474" s="36"/>
      <c r="H474" s="30"/>
      <c r="I474" s="6"/>
      <c r="J474" s="7"/>
    </row>
    <row r="475" ht="22" customHeight="1">
      <c r="A475" t="s" s="94">
        <v>3914</v>
      </c>
      <c r="B475" t="s" s="126">
        <v>3487</v>
      </c>
      <c r="C475" t="s" s="126">
        <v>3487</v>
      </c>
      <c r="D475" s="139">
        <v>2</v>
      </c>
      <c r="E475" s="36"/>
      <c r="F475" s="36"/>
      <c r="G475" s="36"/>
      <c r="H475" s="30"/>
      <c r="I475" s="6"/>
      <c r="J475" s="7"/>
    </row>
    <row r="476" ht="22" customHeight="1">
      <c r="A476" t="s" s="94">
        <v>3915</v>
      </c>
      <c r="B476" t="s" s="126">
        <v>3487</v>
      </c>
      <c r="C476" t="s" s="126">
        <v>3487</v>
      </c>
      <c r="D476" s="139">
        <v>3</v>
      </c>
      <c r="E476" s="36"/>
      <c r="F476" s="36"/>
      <c r="G476" s="36"/>
      <c r="H476" s="30"/>
      <c r="I476" s="6"/>
      <c r="J476" s="7"/>
    </row>
    <row r="477" ht="22" customHeight="1">
      <c r="A477" t="s" s="94">
        <v>3916</v>
      </c>
      <c r="B477" t="s" s="126">
        <v>3487</v>
      </c>
      <c r="C477" t="s" s="126">
        <v>3487</v>
      </c>
      <c r="D477" s="139">
        <v>4</v>
      </c>
      <c r="E477" s="36"/>
      <c r="F477" s="36"/>
      <c r="G477" s="36"/>
      <c r="H477" s="30"/>
      <c r="I477" s="6"/>
      <c r="J477" s="7"/>
    </row>
    <row r="478" ht="22" customHeight="1">
      <c r="A478" t="s" s="94">
        <v>3917</v>
      </c>
      <c r="B478" t="s" s="126">
        <v>3487</v>
      </c>
      <c r="C478" t="s" s="126">
        <v>3487</v>
      </c>
      <c r="D478" s="139">
        <v>5</v>
      </c>
      <c r="E478" s="36"/>
      <c r="F478" s="36"/>
      <c r="G478" s="36"/>
      <c r="H478" s="30"/>
      <c r="I478" s="6"/>
      <c r="J478" s="7"/>
    </row>
    <row r="479" ht="22" customHeight="1">
      <c r="A479" t="s" s="94">
        <v>3918</v>
      </c>
      <c r="B479" t="s" s="126">
        <v>3487</v>
      </c>
      <c r="C479" t="s" s="126">
        <v>3487</v>
      </c>
      <c r="D479" s="139">
        <v>6</v>
      </c>
      <c r="E479" s="36"/>
      <c r="F479" s="36"/>
      <c r="G479" s="36"/>
      <c r="H479" s="30"/>
      <c r="I479" s="6"/>
      <c r="J479" s="7"/>
    </row>
    <row r="480" ht="22" customHeight="1">
      <c r="A480" t="s" s="94">
        <v>3919</v>
      </c>
      <c r="B480" t="s" s="126">
        <v>3487</v>
      </c>
      <c r="C480" t="s" s="126">
        <v>3487</v>
      </c>
      <c r="D480" s="139">
        <v>7</v>
      </c>
      <c r="E480" s="36"/>
      <c r="F480" s="36"/>
      <c r="G480" s="36"/>
      <c r="H480" s="30"/>
      <c r="I480" s="6"/>
      <c r="J480" s="7"/>
    </row>
    <row r="481" ht="22" customHeight="1">
      <c r="A481" t="s" s="94">
        <v>3920</v>
      </c>
      <c r="B481" t="s" s="126">
        <v>3487</v>
      </c>
      <c r="C481" t="s" s="126">
        <v>3487</v>
      </c>
      <c r="D481" s="139">
        <v>8</v>
      </c>
      <c r="E481" s="36"/>
      <c r="F481" s="36"/>
      <c r="G481" s="36"/>
      <c r="H481" s="30"/>
      <c r="I481" s="6"/>
      <c r="J481" s="7"/>
    </row>
    <row r="482" ht="22" customHeight="1">
      <c r="A482" t="s" s="94">
        <v>3921</v>
      </c>
      <c r="B482" t="s" s="126">
        <v>3487</v>
      </c>
      <c r="C482" t="s" s="126">
        <v>3487</v>
      </c>
      <c r="D482" s="139">
        <v>9</v>
      </c>
      <c r="E482" s="36"/>
      <c r="F482" s="36"/>
      <c r="G482" s="36"/>
      <c r="H482" s="30"/>
      <c r="I482" s="6"/>
      <c r="J482" s="7"/>
    </row>
    <row r="483" ht="22" customHeight="1">
      <c r="A483" t="s" s="94">
        <v>3922</v>
      </c>
      <c r="B483" t="s" s="126">
        <v>3487</v>
      </c>
      <c r="C483" t="s" s="126">
        <v>3487</v>
      </c>
      <c r="D483" s="139">
        <v>10</v>
      </c>
      <c r="E483" s="36"/>
      <c r="F483" s="36"/>
      <c r="G483" s="36"/>
      <c r="H483" s="30"/>
      <c r="I483" s="6"/>
      <c r="J483" s="7"/>
    </row>
    <row r="484" ht="22" customHeight="1">
      <c r="A484" t="s" s="94">
        <v>3923</v>
      </c>
      <c r="B484" t="s" s="126">
        <v>3487</v>
      </c>
      <c r="C484" t="s" s="126">
        <v>3487</v>
      </c>
      <c r="D484" s="139">
        <v>11</v>
      </c>
      <c r="E484" s="36"/>
      <c r="F484" s="36"/>
      <c r="G484" s="36"/>
      <c r="H484" s="30"/>
      <c r="I484" s="6"/>
      <c r="J484" s="7"/>
    </row>
    <row r="485" ht="22" customHeight="1">
      <c r="A485" t="s" s="94">
        <v>3924</v>
      </c>
      <c r="B485" t="s" s="126">
        <v>3487</v>
      </c>
      <c r="C485" t="s" s="126">
        <v>3487</v>
      </c>
      <c r="D485" s="139">
        <v>12</v>
      </c>
      <c r="E485" s="36"/>
      <c r="F485" s="36"/>
      <c r="G485" s="36"/>
      <c r="H485" s="30"/>
      <c r="I485" s="6"/>
      <c r="J485" s="7"/>
    </row>
    <row r="486" ht="22" customHeight="1">
      <c r="A486" t="s" s="94">
        <v>3925</v>
      </c>
      <c r="B486" t="s" s="126">
        <v>3487</v>
      </c>
      <c r="C486" t="s" s="126">
        <v>3487</v>
      </c>
      <c r="D486" s="139">
        <v>13</v>
      </c>
      <c r="E486" s="36"/>
      <c r="F486" s="36"/>
      <c r="G486" s="36"/>
      <c r="H486" s="30"/>
      <c r="I486" s="6"/>
      <c r="J486" s="7"/>
    </row>
    <row r="487" ht="22" customHeight="1">
      <c r="A487" t="s" s="94">
        <v>3926</v>
      </c>
      <c r="B487" t="s" s="126">
        <v>3487</v>
      </c>
      <c r="C487" t="s" s="126">
        <v>3487</v>
      </c>
      <c r="D487" s="139">
        <v>14</v>
      </c>
      <c r="E487" s="36"/>
      <c r="F487" s="36"/>
      <c r="G487" s="36"/>
      <c r="H487" s="30"/>
      <c r="I487" s="6"/>
      <c r="J487" s="7"/>
    </row>
    <row r="488" ht="22" customHeight="1">
      <c r="A488" t="s" s="94">
        <v>3927</v>
      </c>
      <c r="B488" t="s" s="126">
        <v>3487</v>
      </c>
      <c r="C488" t="s" s="126">
        <v>3487</v>
      </c>
      <c r="D488" s="139">
        <v>15</v>
      </c>
      <c r="E488" s="36"/>
      <c r="F488" s="36"/>
      <c r="G488" s="36"/>
      <c r="H488" s="30"/>
      <c r="I488" s="6"/>
      <c r="J488" s="7"/>
    </row>
    <row r="489" ht="22" customHeight="1">
      <c r="A489" t="s" s="94">
        <v>3928</v>
      </c>
      <c r="B489" t="s" s="126">
        <v>3487</v>
      </c>
      <c r="C489" t="s" s="126">
        <v>3487</v>
      </c>
      <c r="D489" s="139">
        <v>16</v>
      </c>
      <c r="E489" s="36"/>
      <c r="F489" s="36"/>
      <c r="G489" s="36"/>
      <c r="H489" s="30"/>
      <c r="I489" s="6"/>
      <c r="J489" s="7"/>
    </row>
    <row r="490" ht="22" customHeight="1">
      <c r="A490" t="s" s="94">
        <v>3929</v>
      </c>
      <c r="B490" t="s" s="126">
        <v>3487</v>
      </c>
      <c r="C490" t="s" s="126">
        <v>3487</v>
      </c>
      <c r="D490" s="139">
        <v>17</v>
      </c>
      <c r="E490" s="36"/>
      <c r="F490" s="36"/>
      <c r="G490" s="36"/>
      <c r="H490" s="30"/>
      <c r="I490" s="6"/>
      <c r="J490" s="7"/>
    </row>
    <row r="491" ht="22" customHeight="1">
      <c r="A491" t="s" s="94">
        <v>3930</v>
      </c>
      <c r="B491" t="s" s="126">
        <v>3487</v>
      </c>
      <c r="C491" t="s" s="126">
        <v>3487</v>
      </c>
      <c r="D491" s="139">
        <v>18</v>
      </c>
      <c r="E491" s="36"/>
      <c r="F491" s="36"/>
      <c r="G491" s="36"/>
      <c r="H491" s="30"/>
      <c r="I491" s="6"/>
      <c r="J491" s="7"/>
    </row>
    <row r="492" ht="22" customHeight="1">
      <c r="A492" t="s" s="94">
        <v>3931</v>
      </c>
      <c r="B492" t="s" s="126">
        <v>3487</v>
      </c>
      <c r="C492" t="s" s="126">
        <v>3487</v>
      </c>
      <c r="D492" s="139">
        <v>19</v>
      </c>
      <c r="E492" s="36"/>
      <c r="F492" s="36"/>
      <c r="G492" s="36"/>
      <c r="H492" s="30"/>
      <c r="I492" s="6"/>
      <c r="J492" s="7"/>
    </row>
    <row r="493" ht="22" customHeight="1">
      <c r="A493" t="s" s="94">
        <v>3932</v>
      </c>
      <c r="B493" t="s" s="126">
        <v>3487</v>
      </c>
      <c r="C493" t="s" s="126">
        <v>3487</v>
      </c>
      <c r="D493" s="139">
        <v>20</v>
      </c>
      <c r="E493" s="36"/>
      <c r="F493" s="36"/>
      <c r="G493" s="36"/>
      <c r="H493" s="30"/>
      <c r="I493" s="6"/>
      <c r="J493" s="7"/>
    </row>
    <row r="494" ht="22" customHeight="1">
      <c r="A494" t="s" s="94">
        <v>3933</v>
      </c>
      <c r="B494" t="s" s="126">
        <v>3487</v>
      </c>
      <c r="C494" t="s" s="126">
        <v>3487</v>
      </c>
      <c r="D494" s="139">
        <v>21</v>
      </c>
      <c r="E494" s="36"/>
      <c r="F494" s="36"/>
      <c r="G494" s="36"/>
      <c r="H494" s="30"/>
      <c r="I494" s="6"/>
      <c r="J494" s="7"/>
    </row>
    <row r="495" ht="22" customHeight="1">
      <c r="A495" t="s" s="94">
        <v>3934</v>
      </c>
      <c r="B495" t="s" s="126">
        <v>3487</v>
      </c>
      <c r="C495" t="s" s="126">
        <v>3487</v>
      </c>
      <c r="D495" s="139">
        <v>22</v>
      </c>
      <c r="E495" s="36"/>
      <c r="F495" s="36"/>
      <c r="G495" s="36"/>
      <c r="H495" s="30"/>
      <c r="I495" s="6"/>
      <c r="J495" s="7"/>
    </row>
    <row r="496" ht="22" customHeight="1">
      <c r="A496" t="s" s="94">
        <v>3935</v>
      </c>
      <c r="B496" t="s" s="126">
        <v>3487</v>
      </c>
      <c r="C496" t="s" s="126">
        <v>3487</v>
      </c>
      <c r="D496" s="139">
        <v>23</v>
      </c>
      <c r="E496" s="36"/>
      <c r="F496" s="36"/>
      <c r="G496" s="36"/>
      <c r="H496" s="30"/>
      <c r="I496" s="6"/>
      <c r="J496" s="7"/>
    </row>
    <row r="497" ht="22" customHeight="1">
      <c r="A497" t="s" s="94">
        <v>3496</v>
      </c>
      <c r="B497" t="s" s="126">
        <v>3487</v>
      </c>
      <c r="C497" t="s" s="126">
        <v>3487</v>
      </c>
      <c r="D497" s="139">
        <v>24</v>
      </c>
      <c r="E497" s="36"/>
      <c r="F497" s="36"/>
      <c r="G497" s="36"/>
      <c r="H497" s="30"/>
      <c r="I497" s="6"/>
      <c r="J497" s="7"/>
    </row>
    <row r="498" ht="22" customHeight="1">
      <c r="A498" t="s" s="94">
        <v>3936</v>
      </c>
      <c r="B498" t="s" s="126">
        <v>3487</v>
      </c>
      <c r="C498" t="s" s="126">
        <v>3487</v>
      </c>
      <c r="D498" s="139">
        <v>25</v>
      </c>
      <c r="E498" s="36"/>
      <c r="F498" s="36"/>
      <c r="G498" s="36"/>
      <c r="H498" s="30"/>
      <c r="I498" s="6"/>
      <c r="J498" s="7"/>
    </row>
    <row r="499" ht="22" customHeight="1">
      <c r="A499" t="s" s="94">
        <v>3937</v>
      </c>
      <c r="B499" t="s" s="126">
        <v>3487</v>
      </c>
      <c r="C499" t="s" s="126">
        <v>3487</v>
      </c>
      <c r="D499" s="139">
        <v>26</v>
      </c>
      <c r="E499" s="36"/>
      <c r="F499" s="36"/>
      <c r="G499" s="36"/>
      <c r="H499" s="30"/>
      <c r="I499" s="6"/>
      <c r="J499" s="7"/>
    </row>
    <row r="500" ht="22" customHeight="1">
      <c r="A500" t="s" s="94">
        <v>3938</v>
      </c>
      <c r="B500" t="s" s="126">
        <v>3487</v>
      </c>
      <c r="C500" t="s" s="126">
        <v>3487</v>
      </c>
      <c r="D500" s="139">
        <v>27</v>
      </c>
      <c r="E500" s="36"/>
      <c r="F500" s="36"/>
      <c r="G500" s="36"/>
      <c r="H500" s="30"/>
      <c r="I500" s="6"/>
      <c r="J500" s="7"/>
    </row>
    <row r="501" ht="22" customHeight="1">
      <c r="A501" t="s" s="94">
        <v>3939</v>
      </c>
      <c r="B501" t="s" s="126">
        <v>3487</v>
      </c>
      <c r="C501" t="s" s="126">
        <v>3487</v>
      </c>
      <c r="D501" s="139">
        <v>28</v>
      </c>
      <c r="E501" s="36"/>
      <c r="F501" s="36"/>
      <c r="G501" s="36"/>
      <c r="H501" s="30"/>
      <c r="I501" s="6"/>
      <c r="J501" s="7"/>
    </row>
    <row r="502" ht="22" customHeight="1">
      <c r="A502" t="s" s="94">
        <v>3940</v>
      </c>
      <c r="B502" t="s" s="126">
        <v>3487</v>
      </c>
      <c r="C502" t="s" s="126">
        <v>3487</v>
      </c>
      <c r="D502" s="139">
        <v>29</v>
      </c>
      <c r="E502" s="36"/>
      <c r="F502" s="36"/>
      <c r="G502" s="36"/>
      <c r="H502" s="30"/>
      <c r="I502" s="6"/>
      <c r="J502" s="7"/>
    </row>
    <row r="503" ht="22" customHeight="1">
      <c r="A503" t="s" s="94">
        <v>3941</v>
      </c>
      <c r="B503" t="s" s="126">
        <v>3487</v>
      </c>
      <c r="C503" t="s" s="126">
        <v>3487</v>
      </c>
      <c r="D503" s="139">
        <v>30</v>
      </c>
      <c r="E503" s="36"/>
      <c r="F503" s="36"/>
      <c r="G503" s="36"/>
      <c r="H503" s="30"/>
      <c r="I503" s="6"/>
      <c r="J503" s="7"/>
    </row>
    <row r="504" ht="16" customHeight="1">
      <c r="A504" s="140"/>
      <c r="B504" s="111"/>
      <c r="C504" s="111"/>
      <c r="D504" s="111"/>
      <c r="E504" s="111"/>
      <c r="F504" s="111"/>
      <c r="G504" s="111"/>
      <c r="H504" s="6"/>
      <c r="I504" s="6"/>
      <c r="J504" s="7"/>
    </row>
    <row r="505" ht="16" customHeight="1">
      <c r="A505" s="5"/>
      <c r="B505" s="6"/>
      <c r="C505" s="6"/>
      <c r="D505" s="6"/>
      <c r="E505" s="6"/>
      <c r="F505" s="6"/>
      <c r="G505" s="6"/>
      <c r="H505" s="6"/>
      <c r="I505" s="6"/>
      <c r="J505" s="7"/>
    </row>
    <row r="506" ht="16" customHeight="1">
      <c r="A506" s="5"/>
      <c r="B506" s="6"/>
      <c r="C506" s="6"/>
      <c r="D506" s="6"/>
      <c r="E506" s="6"/>
      <c r="F506" s="6"/>
      <c r="G506" s="6"/>
      <c r="H506" s="6"/>
      <c r="I506" s="6"/>
      <c r="J506" s="7"/>
    </row>
    <row r="507" ht="22" customHeight="1">
      <c r="A507" s="141"/>
      <c r="B507" s="6"/>
      <c r="C507" s="6"/>
      <c r="D507" s="142"/>
      <c r="E507" s="6"/>
      <c r="F507" s="6"/>
      <c r="G507" s="6"/>
      <c r="H507" s="6"/>
      <c r="I507" s="6"/>
      <c r="J507" s="7"/>
    </row>
    <row r="508" ht="22" customHeight="1">
      <c r="A508" s="141"/>
      <c r="B508" s="6"/>
      <c r="C508" s="6"/>
      <c r="D508" s="142"/>
      <c r="E508" s="6"/>
      <c r="F508" s="6"/>
      <c r="G508" s="6"/>
      <c r="H508" s="6"/>
      <c r="I508" s="6"/>
      <c r="J508" s="7"/>
    </row>
    <row r="509" ht="22" customHeight="1">
      <c r="A509" s="141"/>
      <c r="B509" s="6"/>
      <c r="C509" s="6"/>
      <c r="D509" s="142"/>
      <c r="E509" s="6"/>
      <c r="F509" s="6"/>
      <c r="G509" s="6"/>
      <c r="H509" s="6"/>
      <c r="I509" s="6"/>
      <c r="J509" s="7"/>
    </row>
    <row r="510" ht="22" customHeight="1">
      <c r="A510" s="141"/>
      <c r="B510" s="6"/>
      <c r="C510" s="6"/>
      <c r="D510" s="142"/>
      <c r="E510" s="6"/>
      <c r="F510" s="6"/>
      <c r="G510" s="6"/>
      <c r="H510" s="6"/>
      <c r="I510" s="6"/>
      <c r="J510" s="7"/>
    </row>
    <row r="511" ht="22" customHeight="1">
      <c r="A511" s="141"/>
      <c r="B511" s="6"/>
      <c r="C511" s="6"/>
      <c r="D511" s="142"/>
      <c r="E511" s="6"/>
      <c r="F511" s="6"/>
      <c r="G511" s="6"/>
      <c r="H511" s="6"/>
      <c r="I511" s="6"/>
      <c r="J511" s="7"/>
    </row>
    <row r="512" ht="22" customHeight="1">
      <c r="A512" s="141"/>
      <c r="B512" s="6"/>
      <c r="C512" s="6"/>
      <c r="D512" s="142"/>
      <c r="E512" s="6"/>
      <c r="F512" s="6"/>
      <c r="G512" s="6"/>
      <c r="H512" s="6"/>
      <c r="I512" s="6"/>
      <c r="J512" s="7"/>
    </row>
    <row r="513" ht="22" customHeight="1">
      <c r="A513" s="141"/>
      <c r="B513" s="6"/>
      <c r="C513" s="6"/>
      <c r="D513" s="142"/>
      <c r="E513" s="6"/>
      <c r="F513" s="6"/>
      <c r="G513" s="6"/>
      <c r="H513" s="6"/>
      <c r="I513" s="6"/>
      <c r="J513" s="7"/>
    </row>
    <row r="514" ht="22" customHeight="1">
      <c r="A514" s="141"/>
      <c r="B514" s="6"/>
      <c r="C514" s="6"/>
      <c r="D514" s="142"/>
      <c r="E514" s="6"/>
      <c r="F514" s="6"/>
      <c r="G514" s="6"/>
      <c r="H514" s="6"/>
      <c r="I514" s="6"/>
      <c r="J514" s="7"/>
    </row>
    <row r="515" ht="22" customHeight="1">
      <c r="A515" s="141"/>
      <c r="B515" s="6"/>
      <c r="C515" s="6"/>
      <c r="D515" s="142"/>
      <c r="E515" s="6"/>
      <c r="F515" s="6"/>
      <c r="G515" s="6"/>
      <c r="H515" s="6"/>
      <c r="I515" s="6"/>
      <c r="J515" s="7"/>
    </row>
    <row r="516" ht="22" customHeight="1">
      <c r="A516" s="141"/>
      <c r="B516" s="6"/>
      <c r="C516" s="6"/>
      <c r="D516" s="142"/>
      <c r="E516" s="6"/>
      <c r="F516" s="6"/>
      <c r="G516" s="6"/>
      <c r="H516" s="6"/>
      <c r="I516" s="6"/>
      <c r="J516" s="7"/>
    </row>
    <row r="517" ht="22" customHeight="1">
      <c r="A517" s="141"/>
      <c r="B517" s="6"/>
      <c r="C517" s="6"/>
      <c r="D517" s="142"/>
      <c r="E517" s="6"/>
      <c r="F517" s="6"/>
      <c r="G517" s="6"/>
      <c r="H517" s="6"/>
      <c r="I517" s="6"/>
      <c r="J517" s="7"/>
    </row>
    <row r="518" ht="22" customHeight="1">
      <c r="A518" s="141"/>
      <c r="B518" s="6"/>
      <c r="C518" s="6"/>
      <c r="D518" s="142"/>
      <c r="E518" s="6"/>
      <c r="F518" s="6"/>
      <c r="G518" s="6"/>
      <c r="H518" s="6"/>
      <c r="I518" s="6"/>
      <c r="J518" s="7"/>
    </row>
    <row r="519" ht="22" customHeight="1">
      <c r="A519" s="141"/>
      <c r="B519" s="6"/>
      <c r="C519" s="6"/>
      <c r="D519" s="142"/>
      <c r="E519" s="6"/>
      <c r="F519" s="6"/>
      <c r="G519" s="6"/>
      <c r="H519" s="6"/>
      <c r="I519" s="6"/>
      <c r="J519" s="7"/>
    </row>
    <row r="520" ht="22" customHeight="1">
      <c r="A520" s="141"/>
      <c r="B520" s="6"/>
      <c r="C520" s="6"/>
      <c r="D520" s="142"/>
      <c r="E520" s="6"/>
      <c r="F520" s="6"/>
      <c r="G520" s="6"/>
      <c r="H520" s="6"/>
      <c r="I520" s="6"/>
      <c r="J520" s="7"/>
    </row>
    <row r="521" ht="22" customHeight="1">
      <c r="A521" s="141"/>
      <c r="B521" s="6"/>
      <c r="C521" s="6"/>
      <c r="D521" s="142"/>
      <c r="E521" s="6"/>
      <c r="F521" s="6"/>
      <c r="G521" s="6"/>
      <c r="H521" s="6"/>
      <c r="I521" s="6"/>
      <c r="J521" s="7"/>
    </row>
    <row r="522" ht="22" customHeight="1">
      <c r="A522" s="141"/>
      <c r="B522" s="6"/>
      <c r="C522" s="6"/>
      <c r="D522" s="142"/>
      <c r="E522" s="6"/>
      <c r="F522" s="6"/>
      <c r="G522" s="6"/>
      <c r="H522" s="6"/>
      <c r="I522" s="6"/>
      <c r="J522" s="7"/>
    </row>
    <row r="523" ht="22" customHeight="1">
      <c r="A523" s="141"/>
      <c r="B523" s="6"/>
      <c r="C523" s="6"/>
      <c r="D523" s="142"/>
      <c r="E523" s="6"/>
      <c r="F523" s="6"/>
      <c r="G523" s="6"/>
      <c r="H523" s="6"/>
      <c r="I523" s="6"/>
      <c r="J523" s="7"/>
    </row>
    <row r="524" ht="22" customHeight="1">
      <c r="A524" s="141"/>
      <c r="B524" s="6"/>
      <c r="C524" s="6"/>
      <c r="D524" s="142"/>
      <c r="E524" s="6"/>
      <c r="F524" s="6"/>
      <c r="G524" s="6"/>
      <c r="H524" s="6"/>
      <c r="I524" s="6"/>
      <c r="J524" s="7"/>
    </row>
    <row r="525" ht="22" customHeight="1">
      <c r="A525" s="141"/>
      <c r="B525" s="6"/>
      <c r="C525" s="6"/>
      <c r="D525" s="142"/>
      <c r="E525" s="6"/>
      <c r="F525" s="6"/>
      <c r="G525" s="6"/>
      <c r="H525" s="6"/>
      <c r="I525" s="6"/>
      <c r="J525" s="7"/>
    </row>
    <row r="526" ht="22" customHeight="1">
      <c r="A526" s="141"/>
      <c r="B526" s="6"/>
      <c r="C526" s="6"/>
      <c r="D526" s="142"/>
      <c r="E526" s="6"/>
      <c r="F526" s="6"/>
      <c r="G526" s="6"/>
      <c r="H526" s="6"/>
      <c r="I526" s="6"/>
      <c r="J526" s="7"/>
    </row>
    <row r="527" ht="22" customHeight="1">
      <c r="A527" s="141"/>
      <c r="B527" s="6"/>
      <c r="C527" s="6"/>
      <c r="D527" s="142"/>
      <c r="E527" s="6"/>
      <c r="F527" s="6"/>
      <c r="G527" s="6"/>
      <c r="H527" s="6"/>
      <c r="I527" s="6"/>
      <c r="J527" s="7"/>
    </row>
    <row r="528" ht="22" customHeight="1">
      <c r="A528" s="141"/>
      <c r="B528" s="6"/>
      <c r="C528" s="6"/>
      <c r="D528" s="142"/>
      <c r="E528" s="6"/>
      <c r="F528" s="6"/>
      <c r="G528" s="6"/>
      <c r="H528" s="6"/>
      <c r="I528" s="6"/>
      <c r="J528" s="7"/>
    </row>
    <row r="529" ht="22" customHeight="1">
      <c r="A529" s="141"/>
      <c r="B529" s="6"/>
      <c r="C529" s="6"/>
      <c r="D529" s="142"/>
      <c r="E529" s="6"/>
      <c r="F529" s="6"/>
      <c r="G529" s="6"/>
      <c r="H529" s="6"/>
      <c r="I529" s="6"/>
      <c r="J529" s="7"/>
    </row>
    <row r="530" ht="22" customHeight="1">
      <c r="A530" s="141"/>
      <c r="B530" s="6"/>
      <c r="C530" s="6"/>
      <c r="D530" s="142"/>
      <c r="E530" s="6"/>
      <c r="F530" s="6"/>
      <c r="G530" s="6"/>
      <c r="H530" s="6"/>
      <c r="I530" s="6"/>
      <c r="J530" s="7"/>
    </row>
    <row r="531" ht="22" customHeight="1">
      <c r="A531" s="141"/>
      <c r="B531" s="6"/>
      <c r="C531" s="6"/>
      <c r="D531" s="142"/>
      <c r="E531" s="6"/>
      <c r="F531" s="6"/>
      <c r="G531" s="6"/>
      <c r="H531" s="6"/>
      <c r="I531" s="6"/>
      <c r="J531" s="7"/>
    </row>
    <row r="532" ht="22" customHeight="1">
      <c r="A532" s="141"/>
      <c r="B532" s="6"/>
      <c r="C532" s="6"/>
      <c r="D532" s="142"/>
      <c r="E532" s="6"/>
      <c r="F532" s="6"/>
      <c r="G532" s="6"/>
      <c r="H532" s="6"/>
      <c r="I532" s="6"/>
      <c r="J532" s="7"/>
    </row>
    <row r="533" ht="22" customHeight="1">
      <c r="A533" s="141"/>
      <c r="B533" s="6"/>
      <c r="C533" s="6"/>
      <c r="D533" s="142"/>
      <c r="E533" s="6"/>
      <c r="F533" s="6"/>
      <c r="G533" s="6"/>
      <c r="H533" s="6"/>
      <c r="I533" s="6"/>
      <c r="J533" s="7"/>
    </row>
    <row r="534" ht="22" customHeight="1">
      <c r="A534" s="141"/>
      <c r="B534" s="6"/>
      <c r="C534" s="6"/>
      <c r="D534" s="142"/>
      <c r="E534" s="6"/>
      <c r="F534" s="6"/>
      <c r="G534" s="6"/>
      <c r="H534" s="6"/>
      <c r="I534" s="6"/>
      <c r="J534" s="7"/>
    </row>
    <row r="535" ht="22" customHeight="1">
      <c r="A535" s="141"/>
      <c r="B535" s="6"/>
      <c r="C535" s="6"/>
      <c r="D535" s="142"/>
      <c r="E535" s="6"/>
      <c r="F535" s="6"/>
      <c r="G535" s="6"/>
      <c r="H535" s="6"/>
      <c r="I535" s="6"/>
      <c r="J535" s="7"/>
    </row>
    <row r="536" ht="22" customHeight="1">
      <c r="A536" s="141"/>
      <c r="B536" s="6"/>
      <c r="C536" s="6"/>
      <c r="D536" s="142"/>
      <c r="E536" s="6"/>
      <c r="F536" s="6"/>
      <c r="G536" s="6"/>
      <c r="H536" s="6"/>
      <c r="I536" s="6"/>
      <c r="J536" s="7"/>
    </row>
    <row r="537" ht="22" customHeight="1">
      <c r="A537" s="141"/>
      <c r="B537" s="6"/>
      <c r="C537" s="6"/>
      <c r="D537" s="142"/>
      <c r="E537" s="6"/>
      <c r="F537" s="6"/>
      <c r="G537" s="6"/>
      <c r="H537" s="6"/>
      <c r="I537" s="6"/>
      <c r="J537" s="7"/>
    </row>
    <row r="538" ht="22" customHeight="1">
      <c r="A538" s="141"/>
      <c r="B538" s="6"/>
      <c r="C538" s="6"/>
      <c r="D538" s="142"/>
      <c r="E538" s="6"/>
      <c r="F538" s="6"/>
      <c r="G538" s="6"/>
      <c r="H538" s="6"/>
      <c r="I538" s="6"/>
      <c r="J538" s="7"/>
    </row>
    <row r="539" ht="22" customHeight="1">
      <c r="A539" s="141"/>
      <c r="B539" s="6"/>
      <c r="C539" s="6"/>
      <c r="D539" s="142"/>
      <c r="E539" s="6"/>
      <c r="F539" s="6"/>
      <c r="G539" s="6"/>
      <c r="H539" s="6"/>
      <c r="I539" s="6"/>
      <c r="J539" s="7"/>
    </row>
    <row r="540" ht="22" customHeight="1">
      <c r="A540" s="141"/>
      <c r="B540" s="6"/>
      <c r="C540" s="6"/>
      <c r="D540" s="142"/>
      <c r="E540" s="6"/>
      <c r="F540" s="6"/>
      <c r="G540" s="6"/>
      <c r="H540" s="6"/>
      <c r="I540" s="6"/>
      <c r="J540" s="7"/>
    </row>
    <row r="541" ht="22" customHeight="1">
      <c r="A541" s="141"/>
      <c r="B541" s="6"/>
      <c r="C541" s="6"/>
      <c r="D541" s="142"/>
      <c r="E541" s="6"/>
      <c r="F541" s="6"/>
      <c r="G541" s="6"/>
      <c r="H541" s="6"/>
      <c r="I541" s="6"/>
      <c r="J541" s="7"/>
    </row>
    <row r="542" ht="22" customHeight="1">
      <c r="A542" s="141"/>
      <c r="B542" s="6"/>
      <c r="C542" s="6"/>
      <c r="D542" s="142"/>
      <c r="E542" s="6"/>
      <c r="F542" s="6"/>
      <c r="G542" s="6"/>
      <c r="H542" s="6"/>
      <c r="I542" s="6"/>
      <c r="J542" s="7"/>
    </row>
    <row r="543" ht="22" customHeight="1">
      <c r="A543" s="141"/>
      <c r="B543" s="6"/>
      <c r="C543" s="6"/>
      <c r="D543" s="142"/>
      <c r="E543" s="6"/>
      <c r="F543" s="6"/>
      <c r="G543" s="6"/>
      <c r="H543" s="6"/>
      <c r="I543" s="6"/>
      <c r="J543" s="7"/>
    </row>
    <row r="544" ht="22" customHeight="1">
      <c r="A544" s="141"/>
      <c r="B544" s="6"/>
      <c r="C544" s="6"/>
      <c r="D544" s="142"/>
      <c r="E544" s="6"/>
      <c r="F544" s="6"/>
      <c r="G544" s="6"/>
      <c r="H544" s="6"/>
      <c r="I544" s="6"/>
      <c r="J544" s="7"/>
    </row>
    <row r="545" ht="22" customHeight="1">
      <c r="A545" s="141"/>
      <c r="B545" s="6"/>
      <c r="C545" s="6"/>
      <c r="D545" s="142"/>
      <c r="E545" s="6"/>
      <c r="F545" s="6"/>
      <c r="G545" s="6"/>
      <c r="H545" s="6"/>
      <c r="I545" s="6"/>
      <c r="J545" s="7"/>
    </row>
    <row r="546" ht="22" customHeight="1">
      <c r="A546" s="141"/>
      <c r="B546" s="6"/>
      <c r="C546" s="6"/>
      <c r="D546" s="142"/>
      <c r="E546" s="6"/>
      <c r="F546" s="6"/>
      <c r="G546" s="6"/>
      <c r="H546" s="6"/>
      <c r="I546" s="6"/>
      <c r="J546" s="7"/>
    </row>
    <row r="547" ht="22" customHeight="1">
      <c r="A547" s="141"/>
      <c r="B547" s="6"/>
      <c r="C547" s="6"/>
      <c r="D547" s="142"/>
      <c r="E547" s="6"/>
      <c r="F547" s="6"/>
      <c r="G547" s="6"/>
      <c r="H547" s="6"/>
      <c r="I547" s="6"/>
      <c r="J547" s="7"/>
    </row>
    <row r="548" ht="22" customHeight="1">
      <c r="A548" s="141"/>
      <c r="B548" s="6"/>
      <c r="C548" s="6"/>
      <c r="D548" s="142"/>
      <c r="E548" s="6"/>
      <c r="F548" s="6"/>
      <c r="G548" s="6"/>
      <c r="H548" s="6"/>
      <c r="I548" s="6"/>
      <c r="J548" s="7"/>
    </row>
    <row r="549" ht="22" customHeight="1">
      <c r="A549" s="141"/>
      <c r="B549" s="6"/>
      <c r="C549" s="6"/>
      <c r="D549" s="142"/>
      <c r="E549" s="6"/>
      <c r="F549" s="6"/>
      <c r="G549" s="6"/>
      <c r="H549" s="6"/>
      <c r="I549" s="6"/>
      <c r="J549" s="7"/>
    </row>
    <row r="550" ht="22" customHeight="1">
      <c r="A550" s="141"/>
      <c r="B550" s="6"/>
      <c r="C550" s="6"/>
      <c r="D550" s="142"/>
      <c r="E550" s="6"/>
      <c r="F550" s="6"/>
      <c r="G550" s="6"/>
      <c r="H550" s="6"/>
      <c r="I550" s="6"/>
      <c r="J550" s="7"/>
    </row>
    <row r="551" ht="22" customHeight="1">
      <c r="A551" s="141"/>
      <c r="B551" s="6"/>
      <c r="C551" s="6"/>
      <c r="D551" s="142"/>
      <c r="E551" s="6"/>
      <c r="F551" s="6"/>
      <c r="G551" s="6"/>
      <c r="H551" s="6"/>
      <c r="I551" s="6"/>
      <c r="J551" s="7"/>
    </row>
    <row r="552" ht="22" customHeight="1">
      <c r="A552" s="141"/>
      <c r="B552" s="6"/>
      <c r="C552" s="6"/>
      <c r="D552" s="142"/>
      <c r="E552" s="6"/>
      <c r="F552" s="6"/>
      <c r="G552" s="6"/>
      <c r="H552" s="6"/>
      <c r="I552" s="6"/>
      <c r="J552" s="7"/>
    </row>
    <row r="553" ht="22" customHeight="1">
      <c r="A553" s="141"/>
      <c r="B553" s="6"/>
      <c r="C553" s="6"/>
      <c r="D553" s="142"/>
      <c r="E553" s="6"/>
      <c r="F553" s="6"/>
      <c r="G553" s="6"/>
      <c r="H553" s="6"/>
      <c r="I553" s="6"/>
      <c r="J553" s="7"/>
    </row>
    <row r="554" ht="22" customHeight="1">
      <c r="A554" s="141"/>
      <c r="B554" s="6"/>
      <c r="C554" s="6"/>
      <c r="D554" s="142"/>
      <c r="E554" s="6"/>
      <c r="F554" s="6"/>
      <c r="G554" s="6"/>
      <c r="H554" s="6"/>
      <c r="I554" s="6"/>
      <c r="J554" s="7"/>
    </row>
    <row r="555" ht="22" customHeight="1">
      <c r="A555" s="141"/>
      <c r="B555" s="6"/>
      <c r="C555" s="6"/>
      <c r="D555" s="142"/>
      <c r="E555" s="6"/>
      <c r="F555" s="6"/>
      <c r="G555" s="6"/>
      <c r="H555" s="6"/>
      <c r="I555" s="6"/>
      <c r="J555" s="7"/>
    </row>
    <row r="556" ht="22" customHeight="1">
      <c r="A556" s="141"/>
      <c r="B556" s="6"/>
      <c r="C556" s="6"/>
      <c r="D556" s="142"/>
      <c r="E556" s="6"/>
      <c r="F556" s="6"/>
      <c r="G556" s="6"/>
      <c r="H556" s="6"/>
      <c r="I556" s="6"/>
      <c r="J556" s="7"/>
    </row>
    <row r="557" ht="22" customHeight="1">
      <c r="A557" s="141"/>
      <c r="B557" s="6"/>
      <c r="C557" s="6"/>
      <c r="D557" s="142"/>
      <c r="E557" s="6"/>
      <c r="F557" s="6"/>
      <c r="G557" s="6"/>
      <c r="H557" s="6"/>
      <c r="I557" s="6"/>
      <c r="J557" s="7"/>
    </row>
    <row r="558" ht="22" customHeight="1">
      <c r="A558" s="141"/>
      <c r="B558" s="6"/>
      <c r="C558" s="6"/>
      <c r="D558" s="142"/>
      <c r="E558" s="6"/>
      <c r="F558" s="6"/>
      <c r="G558" s="6"/>
      <c r="H558" s="6"/>
      <c r="I558" s="6"/>
      <c r="J558" s="7"/>
    </row>
    <row r="559" ht="22" customHeight="1">
      <c r="A559" s="141"/>
      <c r="B559" s="6"/>
      <c r="C559" s="6"/>
      <c r="D559" s="142"/>
      <c r="E559" s="6"/>
      <c r="F559" s="6"/>
      <c r="G559" s="6"/>
      <c r="H559" s="6"/>
      <c r="I559" s="6"/>
      <c r="J559" s="7"/>
    </row>
    <row r="560" ht="22" customHeight="1">
      <c r="A560" s="141"/>
      <c r="B560" s="6"/>
      <c r="C560" s="6"/>
      <c r="D560" s="142"/>
      <c r="E560" s="6"/>
      <c r="F560" s="6"/>
      <c r="G560" s="6"/>
      <c r="H560" s="6"/>
      <c r="I560" s="6"/>
      <c r="J560" s="7"/>
    </row>
    <row r="561" ht="22" customHeight="1">
      <c r="A561" s="141"/>
      <c r="B561" s="6"/>
      <c r="C561" s="6"/>
      <c r="D561" s="142"/>
      <c r="E561" s="6"/>
      <c r="F561" s="6"/>
      <c r="G561" s="6"/>
      <c r="H561" s="6"/>
      <c r="I561" s="6"/>
      <c r="J561" s="7"/>
    </row>
    <row r="562" ht="22" customHeight="1">
      <c r="A562" s="141"/>
      <c r="B562" s="6"/>
      <c r="C562" s="6"/>
      <c r="D562" s="142"/>
      <c r="E562" s="6"/>
      <c r="F562" s="6"/>
      <c r="G562" s="6"/>
      <c r="H562" s="6"/>
      <c r="I562" s="6"/>
      <c r="J562" s="7"/>
    </row>
    <row r="563" ht="22" customHeight="1">
      <c r="A563" s="141"/>
      <c r="B563" s="6"/>
      <c r="C563" s="6"/>
      <c r="D563" s="142"/>
      <c r="E563" s="6"/>
      <c r="F563" s="6"/>
      <c r="G563" s="6"/>
      <c r="H563" s="6"/>
      <c r="I563" s="6"/>
      <c r="J563" s="7"/>
    </row>
    <row r="564" ht="22" customHeight="1">
      <c r="A564" s="141"/>
      <c r="B564" s="6"/>
      <c r="C564" s="6"/>
      <c r="D564" s="142"/>
      <c r="E564" s="6"/>
      <c r="F564" s="6"/>
      <c r="G564" s="6"/>
      <c r="H564" s="6"/>
      <c r="I564" s="6"/>
      <c r="J564" s="7"/>
    </row>
    <row r="565" ht="22" customHeight="1">
      <c r="A565" s="141"/>
      <c r="B565" s="6"/>
      <c r="C565" s="6"/>
      <c r="D565" s="142"/>
      <c r="E565" s="6"/>
      <c r="F565" s="6"/>
      <c r="G565" s="6"/>
      <c r="H565" s="6"/>
      <c r="I565" s="6"/>
      <c r="J565" s="7"/>
    </row>
    <row r="566" ht="22" customHeight="1">
      <c r="A566" s="141"/>
      <c r="B566" s="6"/>
      <c r="C566" s="6"/>
      <c r="D566" s="142"/>
      <c r="E566" s="6"/>
      <c r="F566" s="6"/>
      <c r="G566" s="6"/>
      <c r="H566" s="6"/>
      <c r="I566" s="6"/>
      <c r="J566" s="7"/>
    </row>
    <row r="567" ht="22" customHeight="1">
      <c r="A567" s="141"/>
      <c r="B567" s="6"/>
      <c r="C567" s="6"/>
      <c r="D567" s="142"/>
      <c r="E567" s="6"/>
      <c r="F567" s="6"/>
      <c r="G567" s="6"/>
      <c r="H567" s="6"/>
      <c r="I567" s="6"/>
      <c r="J567" s="7"/>
    </row>
    <row r="568" ht="22" customHeight="1">
      <c r="A568" s="141"/>
      <c r="B568" s="6"/>
      <c r="C568" s="6"/>
      <c r="D568" s="142"/>
      <c r="E568" s="6"/>
      <c r="F568" s="6"/>
      <c r="G568" s="6"/>
      <c r="H568" s="6"/>
      <c r="I568" s="6"/>
      <c r="J568" s="7"/>
    </row>
    <row r="569" ht="22" customHeight="1">
      <c r="A569" s="141"/>
      <c r="B569" s="6"/>
      <c r="C569" s="6"/>
      <c r="D569" s="142"/>
      <c r="E569" s="6"/>
      <c r="F569" s="6"/>
      <c r="G569" s="6"/>
      <c r="H569" s="6"/>
      <c r="I569" s="6"/>
      <c r="J569" s="7"/>
    </row>
    <row r="570" ht="22" customHeight="1">
      <c r="A570" s="141"/>
      <c r="B570" s="6"/>
      <c r="C570" s="6"/>
      <c r="D570" s="142"/>
      <c r="E570" s="6"/>
      <c r="F570" s="6"/>
      <c r="G570" s="6"/>
      <c r="H570" s="6"/>
      <c r="I570" s="6"/>
      <c r="J570" s="7"/>
    </row>
    <row r="571" ht="22" customHeight="1">
      <c r="A571" s="141"/>
      <c r="B571" s="6"/>
      <c r="C571" s="6"/>
      <c r="D571" s="142"/>
      <c r="E571" s="6"/>
      <c r="F571" s="6"/>
      <c r="G571" s="6"/>
      <c r="H571" s="6"/>
      <c r="I571" s="6"/>
      <c r="J571" s="7"/>
    </row>
    <row r="572" ht="22" customHeight="1">
      <c r="A572" s="141"/>
      <c r="B572" s="6"/>
      <c r="C572" s="6"/>
      <c r="D572" s="142"/>
      <c r="E572" s="6"/>
      <c r="F572" s="6"/>
      <c r="G572" s="6"/>
      <c r="H572" s="6"/>
      <c r="I572" s="6"/>
      <c r="J572" s="7"/>
    </row>
    <row r="573" ht="22" customHeight="1">
      <c r="A573" s="141"/>
      <c r="B573" s="6"/>
      <c r="C573" s="6"/>
      <c r="D573" s="142"/>
      <c r="E573" s="6"/>
      <c r="F573" s="6"/>
      <c r="G573" s="6"/>
      <c r="H573" s="6"/>
      <c r="I573" s="6"/>
      <c r="J573" s="7"/>
    </row>
    <row r="574" ht="22" customHeight="1">
      <c r="A574" s="141"/>
      <c r="B574" s="6"/>
      <c r="C574" s="6"/>
      <c r="D574" s="142"/>
      <c r="E574" s="6"/>
      <c r="F574" s="6"/>
      <c r="G574" s="6"/>
      <c r="H574" s="6"/>
      <c r="I574" s="6"/>
      <c r="J574" s="7"/>
    </row>
    <row r="575" ht="22" customHeight="1">
      <c r="A575" s="141"/>
      <c r="B575" s="6"/>
      <c r="C575" s="6"/>
      <c r="D575" s="142"/>
      <c r="E575" s="6"/>
      <c r="F575" s="6"/>
      <c r="G575" s="6"/>
      <c r="H575" s="6"/>
      <c r="I575" s="6"/>
      <c r="J575" s="7"/>
    </row>
    <row r="576" ht="22" customHeight="1">
      <c r="A576" s="141"/>
      <c r="B576" s="6"/>
      <c r="C576" s="6"/>
      <c r="D576" s="142"/>
      <c r="E576" s="6"/>
      <c r="F576" s="6"/>
      <c r="G576" s="6"/>
      <c r="H576" s="6"/>
      <c r="I576" s="6"/>
      <c r="J576" s="7"/>
    </row>
    <row r="577" ht="22" customHeight="1">
      <c r="A577" s="141"/>
      <c r="B577" s="6"/>
      <c r="C577" s="6"/>
      <c r="D577" s="142"/>
      <c r="E577" s="6"/>
      <c r="F577" s="6"/>
      <c r="G577" s="6"/>
      <c r="H577" s="6"/>
      <c r="I577" s="6"/>
      <c r="J577" s="7"/>
    </row>
    <row r="578" ht="22" customHeight="1">
      <c r="A578" s="141"/>
      <c r="B578" s="6"/>
      <c r="C578" s="6"/>
      <c r="D578" s="142"/>
      <c r="E578" s="6"/>
      <c r="F578" s="6"/>
      <c r="G578" s="6"/>
      <c r="H578" s="6"/>
      <c r="I578" s="6"/>
      <c r="J578" s="7"/>
    </row>
    <row r="579" ht="22" customHeight="1">
      <c r="A579" s="141"/>
      <c r="B579" s="6"/>
      <c r="C579" s="6"/>
      <c r="D579" s="142"/>
      <c r="E579" s="6"/>
      <c r="F579" s="6"/>
      <c r="G579" s="6"/>
      <c r="H579" s="6"/>
      <c r="I579" s="6"/>
      <c r="J579" s="7"/>
    </row>
    <row r="580" ht="22" customHeight="1">
      <c r="A580" s="141"/>
      <c r="B580" s="6"/>
      <c r="C580" s="6"/>
      <c r="D580" s="142"/>
      <c r="E580" s="6"/>
      <c r="F580" s="6"/>
      <c r="G580" s="6"/>
      <c r="H580" s="6"/>
      <c r="I580" s="6"/>
      <c r="J580" s="7"/>
    </row>
    <row r="581" ht="22" customHeight="1">
      <c r="A581" s="141"/>
      <c r="B581" s="6"/>
      <c r="C581" s="6"/>
      <c r="D581" s="142"/>
      <c r="E581" s="6"/>
      <c r="F581" s="6"/>
      <c r="G581" s="6"/>
      <c r="H581" s="6"/>
      <c r="I581" s="6"/>
      <c r="J581" s="7"/>
    </row>
    <row r="582" ht="22" customHeight="1">
      <c r="A582" s="141"/>
      <c r="B582" s="6"/>
      <c r="C582" s="6"/>
      <c r="D582" s="142"/>
      <c r="E582" s="6"/>
      <c r="F582" s="6"/>
      <c r="G582" s="6"/>
      <c r="H582" s="6"/>
      <c r="I582" s="6"/>
      <c r="J582" s="7"/>
    </row>
    <row r="583" ht="22" customHeight="1">
      <c r="A583" s="141"/>
      <c r="B583" s="6"/>
      <c r="C583" s="6"/>
      <c r="D583" s="142"/>
      <c r="E583" s="6"/>
      <c r="F583" s="6"/>
      <c r="G583" s="6"/>
      <c r="H583" s="6"/>
      <c r="I583" s="6"/>
      <c r="J583" s="7"/>
    </row>
    <row r="584" ht="22" customHeight="1">
      <c r="A584" s="141"/>
      <c r="B584" s="6"/>
      <c r="C584" s="6"/>
      <c r="D584" s="142"/>
      <c r="E584" s="6"/>
      <c r="F584" s="6"/>
      <c r="G584" s="6"/>
      <c r="H584" s="6"/>
      <c r="I584" s="6"/>
      <c r="J584" s="7"/>
    </row>
    <row r="585" ht="22" customHeight="1">
      <c r="A585" s="141"/>
      <c r="B585" s="6"/>
      <c r="C585" s="6"/>
      <c r="D585" s="142"/>
      <c r="E585" s="6"/>
      <c r="F585" s="6"/>
      <c r="G585" s="6"/>
      <c r="H585" s="6"/>
      <c r="I585" s="6"/>
      <c r="J585" s="7"/>
    </row>
    <row r="586" ht="22" customHeight="1">
      <c r="A586" s="141"/>
      <c r="B586" s="6"/>
      <c r="C586" s="6"/>
      <c r="D586" s="142"/>
      <c r="E586" s="6"/>
      <c r="F586" s="6"/>
      <c r="G586" s="6"/>
      <c r="H586" s="6"/>
      <c r="I586" s="6"/>
      <c r="J586" s="7"/>
    </row>
    <row r="587" ht="22" customHeight="1">
      <c r="A587" s="141"/>
      <c r="B587" s="6"/>
      <c r="C587" s="6"/>
      <c r="D587" s="142"/>
      <c r="E587" s="6"/>
      <c r="F587" s="6"/>
      <c r="G587" s="6"/>
      <c r="H587" s="6"/>
      <c r="I587" s="6"/>
      <c r="J587" s="7"/>
    </row>
    <row r="588" ht="22" customHeight="1">
      <c r="A588" s="141"/>
      <c r="B588" s="6"/>
      <c r="C588" s="6"/>
      <c r="D588" s="142"/>
      <c r="E588" s="6"/>
      <c r="F588" s="6"/>
      <c r="G588" s="6"/>
      <c r="H588" s="6"/>
      <c r="I588" s="6"/>
      <c r="J588" s="7"/>
    </row>
    <row r="589" ht="22" customHeight="1">
      <c r="A589" s="141"/>
      <c r="B589" s="6"/>
      <c r="C589" s="6"/>
      <c r="D589" s="142"/>
      <c r="E589" s="6"/>
      <c r="F589" s="6"/>
      <c r="G589" s="6"/>
      <c r="H589" s="6"/>
      <c r="I589" s="6"/>
      <c r="J589" s="7"/>
    </row>
    <row r="590" ht="22" customHeight="1">
      <c r="A590" s="141"/>
      <c r="B590" s="6"/>
      <c r="C590" s="6"/>
      <c r="D590" s="142"/>
      <c r="E590" s="6"/>
      <c r="F590" s="6"/>
      <c r="G590" s="6"/>
      <c r="H590" s="6"/>
      <c r="I590" s="6"/>
      <c r="J590" s="7"/>
    </row>
    <row r="591" ht="22" customHeight="1">
      <c r="A591" s="141"/>
      <c r="B591" s="6"/>
      <c r="C591" s="6"/>
      <c r="D591" s="142"/>
      <c r="E591" s="6"/>
      <c r="F591" s="6"/>
      <c r="G591" s="6"/>
      <c r="H591" s="6"/>
      <c r="I591" s="6"/>
      <c r="J591" s="7"/>
    </row>
    <row r="592" ht="22" customHeight="1">
      <c r="A592" s="141"/>
      <c r="B592" s="6"/>
      <c r="C592" s="6"/>
      <c r="D592" s="142"/>
      <c r="E592" s="6"/>
      <c r="F592" s="6"/>
      <c r="G592" s="6"/>
      <c r="H592" s="6"/>
      <c r="I592" s="6"/>
      <c r="J592" s="7"/>
    </row>
    <row r="593" ht="22" customHeight="1">
      <c r="A593" s="141"/>
      <c r="B593" s="6"/>
      <c r="C593" s="6"/>
      <c r="D593" s="142"/>
      <c r="E593" s="6"/>
      <c r="F593" s="6"/>
      <c r="G593" s="6"/>
      <c r="H593" s="6"/>
      <c r="I593" s="6"/>
      <c r="J593" s="7"/>
    </row>
    <row r="594" ht="22" customHeight="1">
      <c r="A594" s="141"/>
      <c r="B594" s="6"/>
      <c r="C594" s="6"/>
      <c r="D594" s="142"/>
      <c r="E594" s="6"/>
      <c r="F594" s="6"/>
      <c r="G594" s="6"/>
      <c r="H594" s="6"/>
      <c r="I594" s="6"/>
      <c r="J594" s="7"/>
    </row>
    <row r="595" ht="22" customHeight="1">
      <c r="A595" s="141"/>
      <c r="B595" s="6"/>
      <c r="C595" s="6"/>
      <c r="D595" s="142"/>
      <c r="E595" s="6"/>
      <c r="F595" s="6"/>
      <c r="G595" s="6"/>
      <c r="H595" s="6"/>
      <c r="I595" s="6"/>
      <c r="J595" s="7"/>
    </row>
    <row r="596" ht="22" customHeight="1">
      <c r="A596" s="141"/>
      <c r="B596" s="6"/>
      <c r="C596" s="6"/>
      <c r="D596" s="142"/>
      <c r="E596" s="6"/>
      <c r="F596" s="6"/>
      <c r="G596" s="6"/>
      <c r="H596" s="6"/>
      <c r="I596" s="6"/>
      <c r="J596" s="7"/>
    </row>
    <row r="597" ht="22" customHeight="1">
      <c r="A597" s="141"/>
      <c r="B597" s="6"/>
      <c r="C597" s="6"/>
      <c r="D597" s="142"/>
      <c r="E597" s="6"/>
      <c r="F597" s="6"/>
      <c r="G597" s="6"/>
      <c r="H597" s="6"/>
      <c r="I597" s="6"/>
      <c r="J597" s="7"/>
    </row>
    <row r="598" ht="22" customHeight="1">
      <c r="A598" s="141"/>
      <c r="B598" s="6"/>
      <c r="C598" s="6"/>
      <c r="D598" s="142"/>
      <c r="E598" s="6"/>
      <c r="F598" s="6"/>
      <c r="G598" s="6"/>
      <c r="H598" s="6"/>
      <c r="I598" s="6"/>
      <c r="J598" s="7"/>
    </row>
    <row r="599" ht="22" customHeight="1">
      <c r="A599" s="141"/>
      <c r="B599" s="6"/>
      <c r="C599" s="6"/>
      <c r="D599" s="142"/>
      <c r="E599" s="6"/>
      <c r="F599" s="6"/>
      <c r="G599" s="6"/>
      <c r="H599" s="6"/>
      <c r="I599" s="6"/>
      <c r="J599" s="7"/>
    </row>
    <row r="600" ht="22" customHeight="1">
      <c r="A600" s="141"/>
      <c r="B600" s="6"/>
      <c r="C600" s="6"/>
      <c r="D600" s="142"/>
      <c r="E600" s="6"/>
      <c r="F600" s="6"/>
      <c r="G600" s="6"/>
      <c r="H600" s="6"/>
      <c r="I600" s="6"/>
      <c r="J600" s="7"/>
    </row>
    <row r="601" ht="22" customHeight="1">
      <c r="A601" s="141"/>
      <c r="B601" s="6"/>
      <c r="C601" s="6"/>
      <c r="D601" s="142"/>
      <c r="E601" s="6"/>
      <c r="F601" s="6"/>
      <c r="G601" s="6"/>
      <c r="H601" s="6"/>
      <c r="I601" s="6"/>
      <c r="J601" s="7"/>
    </row>
    <row r="602" ht="22" customHeight="1">
      <c r="A602" s="141"/>
      <c r="B602" s="6"/>
      <c r="C602" s="6"/>
      <c r="D602" s="142"/>
      <c r="E602" s="6"/>
      <c r="F602" s="6"/>
      <c r="G602" s="6"/>
      <c r="H602" s="6"/>
      <c r="I602" s="6"/>
      <c r="J602" s="7"/>
    </row>
    <row r="603" ht="22" customHeight="1">
      <c r="A603" s="141"/>
      <c r="B603" s="6"/>
      <c r="C603" s="6"/>
      <c r="D603" s="142"/>
      <c r="E603" s="6"/>
      <c r="F603" s="6"/>
      <c r="G603" s="6"/>
      <c r="H603" s="6"/>
      <c r="I603" s="6"/>
      <c r="J603" s="7"/>
    </row>
    <row r="604" ht="22" customHeight="1">
      <c r="A604" s="141"/>
      <c r="B604" s="6"/>
      <c r="C604" s="6"/>
      <c r="D604" s="142"/>
      <c r="E604" s="6"/>
      <c r="F604" s="6"/>
      <c r="G604" s="6"/>
      <c r="H604" s="6"/>
      <c r="I604" s="6"/>
      <c r="J604" s="7"/>
    </row>
    <row r="605" ht="22" customHeight="1">
      <c r="A605" s="141"/>
      <c r="B605" s="6"/>
      <c r="C605" s="6"/>
      <c r="D605" s="142"/>
      <c r="E605" s="6"/>
      <c r="F605" s="6"/>
      <c r="G605" s="6"/>
      <c r="H605" s="6"/>
      <c r="I605" s="6"/>
      <c r="J605" s="7"/>
    </row>
    <row r="606" ht="22" customHeight="1">
      <c r="A606" s="141"/>
      <c r="B606" s="6"/>
      <c r="C606" s="6"/>
      <c r="D606" s="142"/>
      <c r="E606" s="6"/>
      <c r="F606" s="6"/>
      <c r="G606" s="6"/>
      <c r="H606" s="6"/>
      <c r="I606" s="6"/>
      <c r="J606" s="7"/>
    </row>
    <row r="607" ht="22" customHeight="1">
      <c r="A607" s="141"/>
      <c r="B607" s="6"/>
      <c r="C607" s="6"/>
      <c r="D607" s="142"/>
      <c r="E607" s="6"/>
      <c r="F607" s="6"/>
      <c r="G607" s="6"/>
      <c r="H607" s="6"/>
      <c r="I607" s="6"/>
      <c r="J607" s="7"/>
    </row>
    <row r="608" ht="21" customHeight="1">
      <c r="A608" s="141"/>
      <c r="B608" s="6"/>
      <c r="C608" s="6"/>
      <c r="D608" s="6"/>
      <c r="E608" s="6"/>
      <c r="F608" s="6"/>
      <c r="G608" s="6"/>
      <c r="H608" s="6"/>
      <c r="I608" s="6"/>
      <c r="J608" s="7"/>
    </row>
    <row r="609" ht="21" customHeight="1">
      <c r="A609" s="141"/>
      <c r="B609" s="6"/>
      <c r="C609" s="6"/>
      <c r="D609" s="6"/>
      <c r="E609" s="6"/>
      <c r="F609" s="6"/>
      <c r="G609" s="6"/>
      <c r="H609" s="6"/>
      <c r="I609" s="6"/>
      <c r="J609" s="7"/>
    </row>
    <row r="610" ht="21" customHeight="1">
      <c r="A610" s="141"/>
      <c r="B610" s="6"/>
      <c r="C610" s="6"/>
      <c r="D610" s="6"/>
      <c r="E610" s="6"/>
      <c r="F610" s="6"/>
      <c r="G610" s="6"/>
      <c r="H610" s="6"/>
      <c r="I610" s="6"/>
      <c r="J610" s="7"/>
    </row>
    <row r="611" ht="21" customHeight="1">
      <c r="A611" s="141"/>
      <c r="B611" s="6"/>
      <c r="C611" s="6"/>
      <c r="D611" s="6"/>
      <c r="E611" s="6"/>
      <c r="F611" s="6"/>
      <c r="G611" s="6"/>
      <c r="H611" s="6"/>
      <c r="I611" s="6"/>
      <c r="J611" s="7"/>
    </row>
    <row r="612" ht="21" customHeight="1">
      <c r="A612" s="141"/>
      <c r="B612" s="6"/>
      <c r="C612" s="6"/>
      <c r="D612" s="6"/>
      <c r="E612" s="6"/>
      <c r="F612" s="6"/>
      <c r="G612" s="6"/>
      <c r="H612" s="6"/>
      <c r="I612" s="6"/>
      <c r="J612" s="7"/>
    </row>
    <row r="613" ht="21" customHeight="1">
      <c r="A613" s="141"/>
      <c r="B613" s="6"/>
      <c r="C613" s="6"/>
      <c r="D613" s="6"/>
      <c r="E613" s="6"/>
      <c r="F613" s="6"/>
      <c r="G613" s="6"/>
      <c r="H613" s="6"/>
      <c r="I613" s="6"/>
      <c r="J613" s="7"/>
    </row>
    <row r="614" ht="21" customHeight="1">
      <c r="A614" s="141"/>
      <c r="B614" s="6"/>
      <c r="C614" s="6"/>
      <c r="D614" s="6"/>
      <c r="E614" s="6"/>
      <c r="F614" s="6"/>
      <c r="G614" s="6"/>
      <c r="H614" s="6"/>
      <c r="I614" s="6"/>
      <c r="J614" s="7"/>
    </row>
    <row r="615" ht="21" customHeight="1">
      <c r="A615" s="141"/>
      <c r="B615" s="6"/>
      <c r="C615" s="6"/>
      <c r="D615" s="6"/>
      <c r="E615" s="6"/>
      <c r="F615" s="6"/>
      <c r="G615" s="6"/>
      <c r="H615" s="6"/>
      <c r="I615" s="6"/>
      <c r="J615" s="7"/>
    </row>
    <row r="616" ht="21" customHeight="1">
      <c r="A616" s="141"/>
      <c r="B616" s="6"/>
      <c r="C616" s="6"/>
      <c r="D616" s="6"/>
      <c r="E616" s="6"/>
      <c r="F616" s="6"/>
      <c r="G616" s="6"/>
      <c r="H616" s="6"/>
      <c r="I616" s="6"/>
      <c r="J616" s="7"/>
    </row>
    <row r="617" ht="21" customHeight="1">
      <c r="A617" s="141"/>
      <c r="B617" s="6"/>
      <c r="C617" s="6"/>
      <c r="D617" s="6"/>
      <c r="E617" s="6"/>
      <c r="F617" s="6"/>
      <c r="G617" s="6"/>
      <c r="H617" s="6"/>
      <c r="I617" s="6"/>
      <c r="J617" s="7"/>
    </row>
    <row r="618" ht="21" customHeight="1">
      <c r="A618" s="141"/>
      <c r="B618" s="6"/>
      <c r="C618" s="6"/>
      <c r="D618" s="6"/>
      <c r="E618" s="6"/>
      <c r="F618" s="6"/>
      <c r="G618" s="6"/>
      <c r="H618" s="6"/>
      <c r="I618" s="6"/>
      <c r="J618" s="7"/>
    </row>
    <row r="619" ht="21" customHeight="1">
      <c r="A619" s="141"/>
      <c r="B619" s="6"/>
      <c r="C619" s="6"/>
      <c r="D619" s="6"/>
      <c r="E619" s="6"/>
      <c r="F619" s="6"/>
      <c r="G619" s="6"/>
      <c r="H619" s="6"/>
      <c r="I619" s="6"/>
      <c r="J619" s="7"/>
    </row>
    <row r="620" ht="21" customHeight="1">
      <c r="A620" s="141"/>
      <c r="B620" s="6"/>
      <c r="C620" s="6"/>
      <c r="D620" s="6"/>
      <c r="E620" s="6"/>
      <c r="F620" s="6"/>
      <c r="G620" s="6"/>
      <c r="H620" s="6"/>
      <c r="I620" s="6"/>
      <c r="J620" s="7"/>
    </row>
    <row r="621" ht="21" customHeight="1">
      <c r="A621" s="141"/>
      <c r="B621" s="6"/>
      <c r="C621" s="6"/>
      <c r="D621" s="6"/>
      <c r="E621" s="6"/>
      <c r="F621" s="6"/>
      <c r="G621" s="6"/>
      <c r="H621" s="6"/>
      <c r="I621" s="6"/>
      <c r="J621" s="7"/>
    </row>
    <row r="622" ht="21" customHeight="1">
      <c r="A622" s="141"/>
      <c r="B622" s="6"/>
      <c r="C622" s="6"/>
      <c r="D622" s="6"/>
      <c r="E622" s="6"/>
      <c r="F622" s="6"/>
      <c r="G622" s="6"/>
      <c r="H622" s="6"/>
      <c r="I622" s="6"/>
      <c r="J622" s="7"/>
    </row>
    <row r="623" ht="21" customHeight="1">
      <c r="A623" s="141"/>
      <c r="B623" s="6"/>
      <c r="C623" s="6"/>
      <c r="D623" s="6"/>
      <c r="E623" s="6"/>
      <c r="F623" s="6"/>
      <c r="G623" s="6"/>
      <c r="H623" s="6"/>
      <c r="I623" s="6"/>
      <c r="J623" s="7"/>
    </row>
    <row r="624" ht="21" customHeight="1">
      <c r="A624" s="141"/>
      <c r="B624" s="6"/>
      <c r="C624" s="6"/>
      <c r="D624" s="6"/>
      <c r="E624" s="6"/>
      <c r="F624" s="6"/>
      <c r="G624" s="6"/>
      <c r="H624" s="6"/>
      <c r="I624" s="6"/>
      <c r="J624" s="7"/>
    </row>
    <row r="625" ht="21" customHeight="1">
      <c r="A625" s="141"/>
      <c r="B625" s="6"/>
      <c r="C625" s="6"/>
      <c r="D625" s="6"/>
      <c r="E625" s="6"/>
      <c r="F625" s="6"/>
      <c r="G625" s="6"/>
      <c r="H625" s="6"/>
      <c r="I625" s="6"/>
      <c r="J625" s="7"/>
    </row>
    <row r="626" ht="21" customHeight="1">
      <c r="A626" s="141"/>
      <c r="B626" s="6"/>
      <c r="C626" s="6"/>
      <c r="D626" s="6"/>
      <c r="E626" s="6"/>
      <c r="F626" s="6"/>
      <c r="G626" s="6"/>
      <c r="H626" s="6"/>
      <c r="I626" s="6"/>
      <c r="J626" s="7"/>
    </row>
    <row r="627" ht="21" customHeight="1">
      <c r="A627" s="141"/>
      <c r="B627" s="6"/>
      <c r="C627" s="6"/>
      <c r="D627" s="6"/>
      <c r="E627" s="6"/>
      <c r="F627" s="6"/>
      <c r="G627" s="6"/>
      <c r="H627" s="6"/>
      <c r="I627" s="6"/>
      <c r="J627" s="7"/>
    </row>
    <row r="628" ht="21" customHeight="1">
      <c r="A628" s="141"/>
      <c r="B628" s="6"/>
      <c r="C628" s="6"/>
      <c r="D628" s="6"/>
      <c r="E628" s="6"/>
      <c r="F628" s="6"/>
      <c r="G628" s="6"/>
      <c r="H628" s="6"/>
      <c r="I628" s="6"/>
      <c r="J628" s="7"/>
    </row>
    <row r="629" ht="21" customHeight="1">
      <c r="A629" s="141"/>
      <c r="B629" s="6"/>
      <c r="C629" s="6"/>
      <c r="D629" s="6"/>
      <c r="E629" s="6"/>
      <c r="F629" s="6"/>
      <c r="G629" s="6"/>
      <c r="H629" s="6"/>
      <c r="I629" s="6"/>
      <c r="J629" s="7"/>
    </row>
    <row r="630" ht="21" customHeight="1">
      <c r="A630" s="141"/>
      <c r="B630" s="6"/>
      <c r="C630" s="6"/>
      <c r="D630" s="6"/>
      <c r="E630" s="6"/>
      <c r="F630" s="6"/>
      <c r="G630" s="6"/>
      <c r="H630" s="6"/>
      <c r="I630" s="6"/>
      <c r="J630" s="7"/>
    </row>
    <row r="631" ht="21" customHeight="1">
      <c r="A631" s="141"/>
      <c r="B631" s="6"/>
      <c r="C631" s="6"/>
      <c r="D631" s="6"/>
      <c r="E631" s="6"/>
      <c r="F631" s="6"/>
      <c r="G631" s="6"/>
      <c r="H631" s="6"/>
      <c r="I631" s="6"/>
      <c r="J631" s="7"/>
    </row>
    <row r="632" ht="21" customHeight="1">
      <c r="A632" s="141"/>
      <c r="B632" s="6"/>
      <c r="C632" s="6"/>
      <c r="D632" s="6"/>
      <c r="E632" s="6"/>
      <c r="F632" s="6"/>
      <c r="G632" s="6"/>
      <c r="H632" s="6"/>
      <c r="I632" s="6"/>
      <c r="J632" s="7"/>
    </row>
    <row r="633" ht="21" customHeight="1">
      <c r="A633" s="141"/>
      <c r="B633" s="6"/>
      <c r="C633" s="6"/>
      <c r="D633" s="6"/>
      <c r="E633" s="6"/>
      <c r="F633" s="6"/>
      <c r="G633" s="6"/>
      <c r="H633" s="6"/>
      <c r="I633" s="6"/>
      <c r="J633" s="7"/>
    </row>
    <row r="634" ht="21" customHeight="1">
      <c r="A634" s="141"/>
      <c r="B634" s="6"/>
      <c r="C634" s="6"/>
      <c r="D634" s="6"/>
      <c r="E634" s="6"/>
      <c r="F634" s="6"/>
      <c r="G634" s="6"/>
      <c r="H634" s="6"/>
      <c r="I634" s="6"/>
      <c r="J634" s="7"/>
    </row>
    <row r="635" ht="21" customHeight="1">
      <c r="A635" s="141"/>
      <c r="B635" s="6"/>
      <c r="C635" s="6"/>
      <c r="D635" s="6"/>
      <c r="E635" s="6"/>
      <c r="F635" s="6"/>
      <c r="G635" s="6"/>
      <c r="H635" s="6"/>
      <c r="I635" s="6"/>
      <c r="J635" s="7"/>
    </row>
    <row r="636" ht="21" customHeight="1">
      <c r="A636" s="141"/>
      <c r="B636" s="6"/>
      <c r="C636" s="6"/>
      <c r="D636" s="6"/>
      <c r="E636" s="6"/>
      <c r="F636" s="6"/>
      <c r="G636" s="6"/>
      <c r="H636" s="6"/>
      <c r="I636" s="6"/>
      <c r="J636" s="7"/>
    </row>
    <row r="637" ht="21" customHeight="1">
      <c r="A637" s="141"/>
      <c r="B637" s="6"/>
      <c r="C637" s="6"/>
      <c r="D637" s="6"/>
      <c r="E637" s="6"/>
      <c r="F637" s="6"/>
      <c r="G637" s="6"/>
      <c r="H637" s="6"/>
      <c r="I637" s="6"/>
      <c r="J637" s="7"/>
    </row>
    <row r="638" ht="21" customHeight="1">
      <c r="A638" s="141"/>
      <c r="B638" s="6"/>
      <c r="C638" s="6"/>
      <c r="D638" s="6"/>
      <c r="E638" s="6"/>
      <c r="F638" s="6"/>
      <c r="G638" s="6"/>
      <c r="H638" s="6"/>
      <c r="I638" s="6"/>
      <c r="J638" s="7"/>
    </row>
    <row r="639" ht="21" customHeight="1">
      <c r="A639" s="141"/>
      <c r="B639" s="6"/>
      <c r="C639" s="6"/>
      <c r="D639" s="6"/>
      <c r="E639" s="6"/>
      <c r="F639" s="6"/>
      <c r="G639" s="6"/>
      <c r="H639" s="6"/>
      <c r="I639" s="6"/>
      <c r="J639" s="7"/>
    </row>
    <row r="640" ht="21" customHeight="1">
      <c r="A640" s="141"/>
      <c r="B640" s="6"/>
      <c r="C640" s="6"/>
      <c r="D640" s="6"/>
      <c r="E640" s="6"/>
      <c r="F640" s="6"/>
      <c r="G640" s="6"/>
      <c r="H640" s="6"/>
      <c r="I640" s="6"/>
      <c r="J640" s="7"/>
    </row>
    <row r="641" ht="21" customHeight="1">
      <c r="A641" s="141"/>
      <c r="B641" s="6"/>
      <c r="C641" s="6"/>
      <c r="D641" s="6"/>
      <c r="E641" s="6"/>
      <c r="F641" s="6"/>
      <c r="G641" s="6"/>
      <c r="H641" s="6"/>
      <c r="I641" s="6"/>
      <c r="J641" s="7"/>
    </row>
    <row r="642" ht="21" customHeight="1">
      <c r="A642" s="141"/>
      <c r="B642" s="6"/>
      <c r="C642" s="6"/>
      <c r="D642" s="6"/>
      <c r="E642" s="6"/>
      <c r="F642" s="6"/>
      <c r="G642" s="6"/>
      <c r="H642" s="6"/>
      <c r="I642" s="6"/>
      <c r="J642" s="7"/>
    </row>
    <row r="643" ht="21" customHeight="1">
      <c r="A643" s="141"/>
      <c r="B643" s="6"/>
      <c r="C643" s="6"/>
      <c r="D643" s="6"/>
      <c r="E643" s="6"/>
      <c r="F643" s="6"/>
      <c r="G643" s="6"/>
      <c r="H643" s="6"/>
      <c r="I643" s="6"/>
      <c r="J643" s="7"/>
    </row>
    <row r="644" ht="21" customHeight="1">
      <c r="A644" s="141"/>
      <c r="B644" s="6"/>
      <c r="C644" s="6"/>
      <c r="D644" s="6"/>
      <c r="E644" s="6"/>
      <c r="F644" s="6"/>
      <c r="G644" s="6"/>
      <c r="H644" s="6"/>
      <c r="I644" s="6"/>
      <c r="J644" s="7"/>
    </row>
    <row r="645" ht="21" customHeight="1">
      <c r="A645" s="141"/>
      <c r="B645" s="6"/>
      <c r="C645" s="6"/>
      <c r="D645" s="6"/>
      <c r="E645" s="6"/>
      <c r="F645" s="6"/>
      <c r="G645" s="6"/>
      <c r="H645" s="6"/>
      <c r="I645" s="6"/>
      <c r="J645" s="7"/>
    </row>
    <row r="646" ht="21" customHeight="1">
      <c r="A646" s="141"/>
      <c r="B646" s="6"/>
      <c r="C646" s="6"/>
      <c r="D646" s="6"/>
      <c r="E646" s="6"/>
      <c r="F646" s="6"/>
      <c r="G646" s="6"/>
      <c r="H646" s="6"/>
      <c r="I646" s="6"/>
      <c r="J646" s="7"/>
    </row>
    <row r="647" ht="21" customHeight="1">
      <c r="A647" s="141"/>
      <c r="B647" s="6"/>
      <c r="C647" s="6"/>
      <c r="D647" s="6"/>
      <c r="E647" s="6"/>
      <c r="F647" s="6"/>
      <c r="G647" s="6"/>
      <c r="H647" s="6"/>
      <c r="I647" s="6"/>
      <c r="J647" s="7"/>
    </row>
    <row r="648" ht="21" customHeight="1">
      <c r="A648" s="141"/>
      <c r="B648" s="6"/>
      <c r="C648" s="6"/>
      <c r="D648" s="6"/>
      <c r="E648" s="6"/>
      <c r="F648" s="6"/>
      <c r="G648" s="6"/>
      <c r="H648" s="6"/>
      <c r="I648" s="6"/>
      <c r="J648" s="7"/>
    </row>
    <row r="649" ht="21" customHeight="1">
      <c r="A649" s="141"/>
      <c r="B649" s="6"/>
      <c r="C649" s="6"/>
      <c r="D649" s="6"/>
      <c r="E649" s="6"/>
      <c r="F649" s="6"/>
      <c r="G649" s="6"/>
      <c r="H649" s="6"/>
      <c r="I649" s="6"/>
      <c r="J649" s="7"/>
    </row>
    <row r="650" ht="21" customHeight="1">
      <c r="A650" s="141"/>
      <c r="B650" s="6"/>
      <c r="C650" s="6"/>
      <c r="D650" s="6"/>
      <c r="E650" s="6"/>
      <c r="F650" s="6"/>
      <c r="G650" s="6"/>
      <c r="H650" s="6"/>
      <c r="I650" s="6"/>
      <c r="J650" s="7"/>
    </row>
    <row r="651" ht="21" customHeight="1">
      <c r="A651" s="141"/>
      <c r="B651" s="6"/>
      <c r="C651" s="6"/>
      <c r="D651" s="6"/>
      <c r="E651" s="6"/>
      <c r="F651" s="6"/>
      <c r="G651" s="6"/>
      <c r="H651" s="6"/>
      <c r="I651" s="6"/>
      <c r="J651" s="7"/>
    </row>
    <row r="652" ht="21" customHeight="1">
      <c r="A652" s="141"/>
      <c r="B652" s="6"/>
      <c r="C652" s="6"/>
      <c r="D652" s="6"/>
      <c r="E652" s="6"/>
      <c r="F652" s="6"/>
      <c r="G652" s="6"/>
      <c r="H652" s="6"/>
      <c r="I652" s="6"/>
      <c r="J652" s="7"/>
    </row>
    <row r="653" ht="21" customHeight="1">
      <c r="A653" s="141"/>
      <c r="B653" s="6"/>
      <c r="C653" s="6"/>
      <c r="D653" s="6"/>
      <c r="E653" s="6"/>
      <c r="F653" s="6"/>
      <c r="G653" s="6"/>
      <c r="H653" s="6"/>
      <c r="I653" s="6"/>
      <c r="J653" s="7"/>
    </row>
    <row r="654" ht="21" customHeight="1">
      <c r="A654" s="141"/>
      <c r="B654" s="6"/>
      <c r="C654" s="6"/>
      <c r="D654" s="6"/>
      <c r="E654" s="6"/>
      <c r="F654" s="6"/>
      <c r="G654" s="6"/>
      <c r="H654" s="6"/>
      <c r="I654" s="6"/>
      <c r="J654" s="7"/>
    </row>
    <row r="655" ht="21" customHeight="1">
      <c r="A655" s="141"/>
      <c r="B655" s="6"/>
      <c r="C655" s="6"/>
      <c r="D655" s="6"/>
      <c r="E655" s="6"/>
      <c r="F655" s="6"/>
      <c r="G655" s="6"/>
      <c r="H655" s="6"/>
      <c r="I655" s="6"/>
      <c r="J655" s="7"/>
    </row>
    <row r="656" ht="21" customHeight="1">
      <c r="A656" s="141"/>
      <c r="B656" s="6"/>
      <c r="C656" s="6"/>
      <c r="D656" s="6"/>
      <c r="E656" s="6"/>
      <c r="F656" s="6"/>
      <c r="G656" s="6"/>
      <c r="H656" s="6"/>
      <c r="I656" s="6"/>
      <c r="J656" s="7"/>
    </row>
    <row r="657" ht="21" customHeight="1">
      <c r="A657" s="141"/>
      <c r="B657" s="6"/>
      <c r="C657" s="6"/>
      <c r="D657" s="6"/>
      <c r="E657" s="6"/>
      <c r="F657" s="6"/>
      <c r="G657" s="6"/>
      <c r="H657" s="6"/>
      <c r="I657" s="6"/>
      <c r="J657" s="7"/>
    </row>
    <row r="658" ht="21" customHeight="1">
      <c r="A658" s="141"/>
      <c r="B658" s="6"/>
      <c r="C658" s="6"/>
      <c r="D658" s="6"/>
      <c r="E658" s="6"/>
      <c r="F658" s="6"/>
      <c r="G658" s="6"/>
      <c r="H658" s="6"/>
      <c r="I658" s="6"/>
      <c r="J658" s="7"/>
    </row>
    <row r="659" ht="21" customHeight="1">
      <c r="A659" s="141"/>
      <c r="B659" s="6"/>
      <c r="C659" s="6"/>
      <c r="D659" s="6"/>
      <c r="E659" s="6"/>
      <c r="F659" s="6"/>
      <c r="G659" s="6"/>
      <c r="H659" s="6"/>
      <c r="I659" s="6"/>
      <c r="J659" s="7"/>
    </row>
    <row r="660" ht="21" customHeight="1">
      <c r="A660" s="141"/>
      <c r="B660" s="6"/>
      <c r="C660" s="6"/>
      <c r="D660" s="6"/>
      <c r="E660" s="6"/>
      <c r="F660" s="6"/>
      <c r="G660" s="6"/>
      <c r="H660" s="6"/>
      <c r="I660" s="6"/>
      <c r="J660" s="7"/>
    </row>
    <row r="661" ht="21" customHeight="1">
      <c r="A661" s="141"/>
      <c r="B661" s="6"/>
      <c r="C661" s="6"/>
      <c r="D661" s="6"/>
      <c r="E661" s="6"/>
      <c r="F661" s="6"/>
      <c r="G661" s="6"/>
      <c r="H661" s="6"/>
      <c r="I661" s="6"/>
      <c r="J661" s="7"/>
    </row>
    <row r="662" ht="21" customHeight="1">
      <c r="A662" s="141"/>
      <c r="B662" s="6"/>
      <c r="C662" s="6"/>
      <c r="D662" s="6"/>
      <c r="E662" s="6"/>
      <c r="F662" s="6"/>
      <c r="G662" s="6"/>
      <c r="H662" s="6"/>
      <c r="I662" s="6"/>
      <c r="J662" s="7"/>
    </row>
    <row r="663" ht="21" customHeight="1">
      <c r="A663" s="141"/>
      <c r="B663" s="6"/>
      <c r="C663" s="6"/>
      <c r="D663" s="6"/>
      <c r="E663" s="6"/>
      <c r="F663" s="6"/>
      <c r="G663" s="6"/>
      <c r="H663" s="6"/>
      <c r="I663" s="6"/>
      <c r="J663" s="7"/>
    </row>
    <row r="664" ht="21" customHeight="1">
      <c r="A664" s="141"/>
      <c r="B664" s="6"/>
      <c r="C664" s="6"/>
      <c r="D664" s="6"/>
      <c r="E664" s="6"/>
      <c r="F664" s="6"/>
      <c r="G664" s="6"/>
      <c r="H664" s="6"/>
      <c r="I664" s="6"/>
      <c r="J664" s="7"/>
    </row>
    <row r="665" ht="21" customHeight="1">
      <c r="A665" s="141"/>
      <c r="B665" s="6"/>
      <c r="C665" s="6"/>
      <c r="D665" s="6"/>
      <c r="E665" s="6"/>
      <c r="F665" s="6"/>
      <c r="G665" s="6"/>
      <c r="H665" s="6"/>
      <c r="I665" s="6"/>
      <c r="J665" s="7"/>
    </row>
    <row r="666" ht="21" customHeight="1">
      <c r="A666" s="141"/>
      <c r="B666" s="6"/>
      <c r="C666" s="6"/>
      <c r="D666" s="6"/>
      <c r="E666" s="6"/>
      <c r="F666" s="6"/>
      <c r="G666" s="6"/>
      <c r="H666" s="6"/>
      <c r="I666" s="6"/>
      <c r="J666" s="7"/>
    </row>
    <row r="667" ht="21" customHeight="1">
      <c r="A667" s="141"/>
      <c r="B667" s="6"/>
      <c r="C667" s="6"/>
      <c r="D667" s="6"/>
      <c r="E667" s="6"/>
      <c r="F667" s="6"/>
      <c r="G667" s="6"/>
      <c r="H667" s="6"/>
      <c r="I667" s="6"/>
      <c r="J667" s="7"/>
    </row>
    <row r="668" ht="21" customHeight="1">
      <c r="A668" s="141"/>
      <c r="B668" s="6"/>
      <c r="C668" s="6"/>
      <c r="D668" s="6"/>
      <c r="E668" s="6"/>
      <c r="F668" s="6"/>
      <c r="G668" s="6"/>
      <c r="H668" s="6"/>
      <c r="I668" s="6"/>
      <c r="J668" s="7"/>
    </row>
    <row r="669" ht="21" customHeight="1">
      <c r="A669" s="141"/>
      <c r="B669" s="6"/>
      <c r="C669" s="6"/>
      <c r="D669" s="6"/>
      <c r="E669" s="6"/>
      <c r="F669" s="6"/>
      <c r="G669" s="6"/>
      <c r="H669" s="6"/>
      <c r="I669" s="6"/>
      <c r="J669" s="7"/>
    </row>
    <row r="670" ht="21" customHeight="1">
      <c r="A670" s="141"/>
      <c r="B670" s="6"/>
      <c r="C670" s="6"/>
      <c r="D670" s="6"/>
      <c r="E670" s="6"/>
      <c r="F670" s="6"/>
      <c r="G670" s="6"/>
      <c r="H670" s="6"/>
      <c r="I670" s="6"/>
      <c r="J670" s="7"/>
    </row>
    <row r="671" ht="21" customHeight="1">
      <c r="A671" s="141"/>
      <c r="B671" s="6"/>
      <c r="C671" s="6"/>
      <c r="D671" s="6"/>
      <c r="E671" s="6"/>
      <c r="F671" s="6"/>
      <c r="G671" s="6"/>
      <c r="H671" s="6"/>
      <c r="I671" s="6"/>
      <c r="J671" s="7"/>
    </row>
    <row r="672" ht="21" customHeight="1">
      <c r="A672" s="141"/>
      <c r="B672" s="6"/>
      <c r="C672" s="6"/>
      <c r="D672" s="6"/>
      <c r="E672" s="6"/>
      <c r="F672" s="6"/>
      <c r="G672" s="6"/>
      <c r="H672" s="6"/>
      <c r="I672" s="6"/>
      <c r="J672" s="7"/>
    </row>
    <row r="673" ht="21" customHeight="1">
      <c r="A673" s="141"/>
      <c r="B673" s="6"/>
      <c r="C673" s="6"/>
      <c r="D673" s="6"/>
      <c r="E673" s="6"/>
      <c r="F673" s="6"/>
      <c r="G673" s="6"/>
      <c r="H673" s="6"/>
      <c r="I673" s="6"/>
      <c r="J673" s="7"/>
    </row>
    <row r="674" ht="21" customHeight="1">
      <c r="A674" s="141"/>
      <c r="B674" s="6"/>
      <c r="C674" s="6"/>
      <c r="D674" s="6"/>
      <c r="E674" s="6"/>
      <c r="F674" s="6"/>
      <c r="G674" s="6"/>
      <c r="H674" s="6"/>
      <c r="I674" s="6"/>
      <c r="J674" s="7"/>
    </row>
    <row r="675" ht="21" customHeight="1">
      <c r="A675" s="141"/>
      <c r="B675" s="6"/>
      <c r="C675" s="6"/>
      <c r="D675" s="6"/>
      <c r="E675" s="6"/>
      <c r="F675" s="6"/>
      <c r="G675" s="6"/>
      <c r="H675" s="6"/>
      <c r="I675" s="6"/>
      <c r="J675" s="7"/>
    </row>
    <row r="676" ht="21" customHeight="1">
      <c r="A676" s="141"/>
      <c r="B676" s="6"/>
      <c r="C676" s="6"/>
      <c r="D676" s="6"/>
      <c r="E676" s="6"/>
      <c r="F676" s="6"/>
      <c r="G676" s="6"/>
      <c r="H676" s="6"/>
      <c r="I676" s="6"/>
      <c r="J676" s="7"/>
    </row>
    <row r="677" ht="21" customHeight="1">
      <c r="A677" s="141"/>
      <c r="B677" s="6"/>
      <c r="C677" s="6"/>
      <c r="D677" s="6"/>
      <c r="E677" s="6"/>
      <c r="F677" s="6"/>
      <c r="G677" s="6"/>
      <c r="H677" s="6"/>
      <c r="I677" s="6"/>
      <c r="J677" s="7"/>
    </row>
    <row r="678" ht="21" customHeight="1">
      <c r="A678" s="141"/>
      <c r="B678" s="6"/>
      <c r="C678" s="6"/>
      <c r="D678" s="6"/>
      <c r="E678" s="6"/>
      <c r="F678" s="6"/>
      <c r="G678" s="6"/>
      <c r="H678" s="6"/>
      <c r="I678" s="6"/>
      <c r="J678" s="7"/>
    </row>
    <row r="679" ht="21" customHeight="1">
      <c r="A679" s="141"/>
      <c r="B679" s="6"/>
      <c r="C679" s="6"/>
      <c r="D679" s="6"/>
      <c r="E679" s="6"/>
      <c r="F679" s="6"/>
      <c r="G679" s="6"/>
      <c r="H679" s="6"/>
      <c r="I679" s="6"/>
      <c r="J679" s="7"/>
    </row>
    <row r="680" ht="21" customHeight="1">
      <c r="A680" s="141"/>
      <c r="B680" s="6"/>
      <c r="C680" s="6"/>
      <c r="D680" s="6"/>
      <c r="E680" s="6"/>
      <c r="F680" s="6"/>
      <c r="G680" s="6"/>
      <c r="H680" s="6"/>
      <c r="I680" s="6"/>
      <c r="J680" s="7"/>
    </row>
    <row r="681" ht="21" customHeight="1">
      <c r="A681" s="141"/>
      <c r="B681" s="6"/>
      <c r="C681" s="6"/>
      <c r="D681" s="6"/>
      <c r="E681" s="6"/>
      <c r="F681" s="6"/>
      <c r="G681" s="6"/>
      <c r="H681" s="6"/>
      <c r="I681" s="6"/>
      <c r="J681" s="7"/>
    </row>
    <row r="682" ht="21" customHeight="1">
      <c r="A682" s="141"/>
      <c r="B682" s="6"/>
      <c r="C682" s="6"/>
      <c r="D682" s="6"/>
      <c r="E682" s="6"/>
      <c r="F682" s="6"/>
      <c r="G682" s="6"/>
      <c r="H682" s="6"/>
      <c r="I682" s="6"/>
      <c r="J682" s="7"/>
    </row>
    <row r="683" ht="21" customHeight="1">
      <c r="A683" s="141"/>
      <c r="B683" s="6"/>
      <c r="C683" s="6"/>
      <c r="D683" s="6"/>
      <c r="E683" s="6"/>
      <c r="F683" s="6"/>
      <c r="G683" s="6"/>
      <c r="H683" s="6"/>
      <c r="I683" s="6"/>
      <c r="J683" s="7"/>
    </row>
    <row r="684" ht="21" customHeight="1">
      <c r="A684" s="141"/>
      <c r="B684" s="6"/>
      <c r="C684" s="6"/>
      <c r="D684" s="6"/>
      <c r="E684" s="6"/>
      <c r="F684" s="6"/>
      <c r="G684" s="6"/>
      <c r="H684" s="6"/>
      <c r="I684" s="6"/>
      <c r="J684" s="7"/>
    </row>
    <row r="685" ht="21" customHeight="1">
      <c r="A685" s="141"/>
      <c r="B685" s="6"/>
      <c r="C685" s="6"/>
      <c r="D685" s="6"/>
      <c r="E685" s="6"/>
      <c r="F685" s="6"/>
      <c r="G685" s="6"/>
      <c r="H685" s="6"/>
      <c r="I685" s="6"/>
      <c r="J685" s="7"/>
    </row>
    <row r="686" ht="21" customHeight="1">
      <c r="A686" s="141"/>
      <c r="B686" s="6"/>
      <c r="C686" s="6"/>
      <c r="D686" s="6"/>
      <c r="E686" s="6"/>
      <c r="F686" s="6"/>
      <c r="G686" s="6"/>
      <c r="H686" s="6"/>
      <c r="I686" s="6"/>
      <c r="J686" s="7"/>
    </row>
    <row r="687" ht="21" customHeight="1">
      <c r="A687" s="141"/>
      <c r="B687" s="6"/>
      <c r="C687" s="6"/>
      <c r="D687" s="6"/>
      <c r="E687" s="6"/>
      <c r="F687" s="6"/>
      <c r="G687" s="6"/>
      <c r="H687" s="6"/>
      <c r="I687" s="6"/>
      <c r="J687" s="7"/>
    </row>
    <row r="688" ht="21" customHeight="1">
      <c r="A688" s="141"/>
      <c r="B688" s="6"/>
      <c r="C688" s="6"/>
      <c r="D688" s="6"/>
      <c r="E688" s="6"/>
      <c r="F688" s="6"/>
      <c r="G688" s="6"/>
      <c r="H688" s="6"/>
      <c r="I688" s="6"/>
      <c r="J688" s="7"/>
    </row>
    <row r="689" ht="21" customHeight="1">
      <c r="A689" s="141"/>
      <c r="B689" s="6"/>
      <c r="C689" s="6"/>
      <c r="D689" s="6"/>
      <c r="E689" s="6"/>
      <c r="F689" s="6"/>
      <c r="G689" s="6"/>
      <c r="H689" s="6"/>
      <c r="I689" s="6"/>
      <c r="J689" s="7"/>
    </row>
    <row r="690" ht="21" customHeight="1">
      <c r="A690" s="141"/>
      <c r="B690" s="6"/>
      <c r="C690" s="6"/>
      <c r="D690" s="6"/>
      <c r="E690" s="6"/>
      <c r="F690" s="6"/>
      <c r="G690" s="6"/>
      <c r="H690" s="6"/>
      <c r="I690" s="6"/>
      <c r="J690" s="7"/>
    </row>
    <row r="691" ht="21" customHeight="1">
      <c r="A691" s="141"/>
      <c r="B691" s="6"/>
      <c r="C691" s="6"/>
      <c r="D691" s="6"/>
      <c r="E691" s="6"/>
      <c r="F691" s="6"/>
      <c r="G691" s="6"/>
      <c r="H691" s="6"/>
      <c r="I691" s="6"/>
      <c r="J691" s="7"/>
    </row>
    <row r="692" ht="21" customHeight="1">
      <c r="A692" s="141"/>
      <c r="B692" s="6"/>
      <c r="C692" s="6"/>
      <c r="D692" s="6"/>
      <c r="E692" s="6"/>
      <c r="F692" s="6"/>
      <c r="G692" s="6"/>
      <c r="H692" s="6"/>
      <c r="I692" s="6"/>
      <c r="J692" s="7"/>
    </row>
    <row r="693" ht="21" customHeight="1">
      <c r="A693" s="141"/>
      <c r="B693" s="6"/>
      <c r="C693" s="6"/>
      <c r="D693" s="6"/>
      <c r="E693" s="6"/>
      <c r="F693" s="6"/>
      <c r="G693" s="6"/>
      <c r="H693" s="6"/>
      <c r="I693" s="6"/>
      <c r="J693" s="7"/>
    </row>
    <row r="694" ht="21" customHeight="1">
      <c r="A694" s="141"/>
      <c r="B694" s="6"/>
      <c r="C694" s="6"/>
      <c r="D694" s="6"/>
      <c r="E694" s="6"/>
      <c r="F694" s="6"/>
      <c r="G694" s="6"/>
      <c r="H694" s="6"/>
      <c r="I694" s="6"/>
      <c r="J694" s="7"/>
    </row>
    <row r="695" ht="21" customHeight="1">
      <c r="A695" s="141"/>
      <c r="B695" s="6"/>
      <c r="C695" s="6"/>
      <c r="D695" s="6"/>
      <c r="E695" s="6"/>
      <c r="F695" s="6"/>
      <c r="G695" s="6"/>
      <c r="H695" s="6"/>
      <c r="I695" s="6"/>
      <c r="J695" s="7"/>
    </row>
    <row r="696" ht="21" customHeight="1">
      <c r="A696" s="141"/>
      <c r="B696" s="6"/>
      <c r="C696" s="6"/>
      <c r="D696" s="6"/>
      <c r="E696" s="6"/>
      <c r="F696" s="6"/>
      <c r="G696" s="6"/>
      <c r="H696" s="6"/>
      <c r="I696" s="6"/>
      <c r="J696" s="7"/>
    </row>
    <row r="697" ht="21" customHeight="1">
      <c r="A697" s="141"/>
      <c r="B697" s="6"/>
      <c r="C697" s="6"/>
      <c r="D697" s="6"/>
      <c r="E697" s="6"/>
      <c r="F697" s="6"/>
      <c r="G697" s="6"/>
      <c r="H697" s="6"/>
      <c r="I697" s="6"/>
      <c r="J697" s="7"/>
    </row>
    <row r="698" ht="21" customHeight="1">
      <c r="A698" s="141"/>
      <c r="B698" s="6"/>
      <c r="C698" s="6"/>
      <c r="D698" s="6"/>
      <c r="E698" s="6"/>
      <c r="F698" s="6"/>
      <c r="G698" s="6"/>
      <c r="H698" s="6"/>
      <c r="I698" s="6"/>
      <c r="J698" s="7"/>
    </row>
    <row r="699" ht="21" customHeight="1">
      <c r="A699" s="141"/>
      <c r="B699" s="6"/>
      <c r="C699" s="6"/>
      <c r="D699" s="6"/>
      <c r="E699" s="6"/>
      <c r="F699" s="6"/>
      <c r="G699" s="6"/>
      <c r="H699" s="6"/>
      <c r="I699" s="6"/>
      <c r="J699" s="7"/>
    </row>
    <row r="700" ht="21" customHeight="1">
      <c r="A700" s="141"/>
      <c r="B700" s="6"/>
      <c r="C700" s="6"/>
      <c r="D700" s="6"/>
      <c r="E700" s="6"/>
      <c r="F700" s="6"/>
      <c r="G700" s="6"/>
      <c r="H700" s="6"/>
      <c r="I700" s="6"/>
      <c r="J700" s="7"/>
    </row>
    <row r="701" ht="21" customHeight="1">
      <c r="A701" s="141"/>
      <c r="B701" s="6"/>
      <c r="C701" s="6"/>
      <c r="D701" s="6"/>
      <c r="E701" s="6"/>
      <c r="F701" s="6"/>
      <c r="G701" s="6"/>
      <c r="H701" s="6"/>
      <c r="I701" s="6"/>
      <c r="J701" s="7"/>
    </row>
    <row r="702" ht="21" customHeight="1">
      <c r="A702" s="141"/>
      <c r="B702" s="6"/>
      <c r="C702" s="6"/>
      <c r="D702" s="6"/>
      <c r="E702" s="6"/>
      <c r="F702" s="6"/>
      <c r="G702" s="6"/>
      <c r="H702" s="6"/>
      <c r="I702" s="6"/>
      <c r="J702" s="7"/>
    </row>
    <row r="703" ht="21" customHeight="1">
      <c r="A703" s="141"/>
      <c r="B703" s="6"/>
      <c r="C703" s="6"/>
      <c r="D703" s="6"/>
      <c r="E703" s="6"/>
      <c r="F703" s="6"/>
      <c r="G703" s="6"/>
      <c r="H703" s="6"/>
      <c r="I703" s="6"/>
      <c r="J703" s="7"/>
    </row>
    <row r="704" ht="21" customHeight="1">
      <c r="A704" s="141"/>
      <c r="B704" s="6"/>
      <c r="C704" s="6"/>
      <c r="D704" s="6"/>
      <c r="E704" s="6"/>
      <c r="F704" s="6"/>
      <c r="G704" s="6"/>
      <c r="H704" s="6"/>
      <c r="I704" s="6"/>
      <c r="J704" s="7"/>
    </row>
    <row r="705" ht="21" customHeight="1">
      <c r="A705" s="141"/>
      <c r="B705" s="6"/>
      <c r="C705" s="6"/>
      <c r="D705" s="6"/>
      <c r="E705" s="6"/>
      <c r="F705" s="6"/>
      <c r="G705" s="6"/>
      <c r="H705" s="6"/>
      <c r="I705" s="6"/>
      <c r="J705" s="7"/>
    </row>
    <row r="706" ht="21" customHeight="1">
      <c r="A706" s="141"/>
      <c r="B706" s="6"/>
      <c r="C706" s="6"/>
      <c r="D706" s="6"/>
      <c r="E706" s="6"/>
      <c r="F706" s="6"/>
      <c r="G706" s="6"/>
      <c r="H706" s="6"/>
      <c r="I706" s="6"/>
      <c r="J706" s="7"/>
    </row>
    <row r="707" ht="21" customHeight="1">
      <c r="A707" s="141"/>
      <c r="B707" s="6"/>
      <c r="C707" s="6"/>
      <c r="D707" s="6"/>
      <c r="E707" s="6"/>
      <c r="F707" s="6"/>
      <c r="G707" s="6"/>
      <c r="H707" s="6"/>
      <c r="I707" s="6"/>
      <c r="J707" s="7"/>
    </row>
    <row r="708" ht="21" customHeight="1">
      <c r="A708" s="141"/>
      <c r="B708" s="6"/>
      <c r="C708" s="6"/>
      <c r="D708" s="6"/>
      <c r="E708" s="6"/>
      <c r="F708" s="6"/>
      <c r="G708" s="6"/>
      <c r="H708" s="6"/>
      <c r="I708" s="6"/>
      <c r="J708" s="7"/>
    </row>
    <row r="709" ht="21" customHeight="1">
      <c r="A709" s="141"/>
      <c r="B709" s="6"/>
      <c r="C709" s="6"/>
      <c r="D709" s="6"/>
      <c r="E709" s="6"/>
      <c r="F709" s="6"/>
      <c r="G709" s="6"/>
      <c r="H709" s="6"/>
      <c r="I709" s="6"/>
      <c r="J709" s="7"/>
    </row>
    <row r="710" ht="21" customHeight="1">
      <c r="A710" s="141"/>
      <c r="B710" s="6"/>
      <c r="C710" s="6"/>
      <c r="D710" s="6"/>
      <c r="E710" s="6"/>
      <c r="F710" s="6"/>
      <c r="G710" s="6"/>
      <c r="H710" s="6"/>
      <c r="I710" s="6"/>
      <c r="J710" s="7"/>
    </row>
    <row r="711" ht="21" customHeight="1">
      <c r="A711" s="141"/>
      <c r="B711" s="6"/>
      <c r="C711" s="6"/>
      <c r="D711" s="6"/>
      <c r="E711" s="6"/>
      <c r="F711" s="6"/>
      <c r="G711" s="6"/>
      <c r="H711" s="6"/>
      <c r="I711" s="6"/>
      <c r="J711" s="7"/>
    </row>
    <row r="712" ht="21" customHeight="1">
      <c r="A712" s="141"/>
      <c r="B712" s="6"/>
      <c r="C712" s="6"/>
      <c r="D712" s="6"/>
      <c r="E712" s="6"/>
      <c r="F712" s="6"/>
      <c r="G712" s="6"/>
      <c r="H712" s="6"/>
      <c r="I712" s="6"/>
      <c r="J712" s="7"/>
    </row>
    <row r="713" ht="21" customHeight="1">
      <c r="A713" s="141"/>
      <c r="B713" s="6"/>
      <c r="C713" s="6"/>
      <c r="D713" s="6"/>
      <c r="E713" s="6"/>
      <c r="F713" s="6"/>
      <c r="G713" s="6"/>
      <c r="H713" s="6"/>
      <c r="I713" s="6"/>
      <c r="J713" s="7"/>
    </row>
    <row r="714" ht="21" customHeight="1">
      <c r="A714" s="141"/>
      <c r="B714" s="6"/>
      <c r="C714" s="6"/>
      <c r="D714" s="6"/>
      <c r="E714" s="6"/>
      <c r="F714" s="6"/>
      <c r="G714" s="6"/>
      <c r="H714" s="6"/>
      <c r="I714" s="6"/>
      <c r="J714" s="7"/>
    </row>
    <row r="715" ht="21" customHeight="1">
      <c r="A715" s="141"/>
      <c r="B715" s="6"/>
      <c r="C715" s="6"/>
      <c r="D715" s="6"/>
      <c r="E715" s="6"/>
      <c r="F715" s="6"/>
      <c r="G715" s="6"/>
      <c r="H715" s="6"/>
      <c r="I715" s="6"/>
      <c r="J715" s="7"/>
    </row>
    <row r="716" ht="21" customHeight="1">
      <c r="A716" s="141"/>
      <c r="B716" s="6"/>
      <c r="C716" s="6"/>
      <c r="D716" s="6"/>
      <c r="E716" s="6"/>
      <c r="F716" s="6"/>
      <c r="G716" s="6"/>
      <c r="H716" s="6"/>
      <c r="I716" s="6"/>
      <c r="J716" s="7"/>
    </row>
    <row r="717" ht="21" customHeight="1">
      <c r="A717" s="141"/>
      <c r="B717" s="6"/>
      <c r="C717" s="6"/>
      <c r="D717" s="6"/>
      <c r="E717" s="6"/>
      <c r="F717" s="6"/>
      <c r="G717" s="6"/>
      <c r="H717" s="6"/>
      <c r="I717" s="6"/>
      <c r="J717" s="7"/>
    </row>
    <row r="718" ht="21" customHeight="1">
      <c r="A718" s="141"/>
      <c r="B718" s="6"/>
      <c r="C718" s="6"/>
      <c r="D718" s="6"/>
      <c r="E718" s="6"/>
      <c r="F718" s="6"/>
      <c r="G718" s="6"/>
      <c r="H718" s="6"/>
      <c r="I718" s="6"/>
      <c r="J718" s="7"/>
    </row>
    <row r="719" ht="21" customHeight="1">
      <c r="A719" s="141"/>
      <c r="B719" s="6"/>
      <c r="C719" s="6"/>
      <c r="D719" s="6"/>
      <c r="E719" s="6"/>
      <c r="F719" s="6"/>
      <c r="G719" s="6"/>
      <c r="H719" s="6"/>
      <c r="I719" s="6"/>
      <c r="J719" s="7"/>
    </row>
    <row r="720" ht="21" customHeight="1">
      <c r="A720" s="141"/>
      <c r="B720" s="6"/>
      <c r="C720" s="6"/>
      <c r="D720" s="6"/>
      <c r="E720" s="6"/>
      <c r="F720" s="6"/>
      <c r="G720" s="6"/>
      <c r="H720" s="6"/>
      <c r="I720" s="6"/>
      <c r="J720" s="7"/>
    </row>
    <row r="721" ht="21" customHeight="1">
      <c r="A721" s="141"/>
      <c r="B721" s="6"/>
      <c r="C721" s="6"/>
      <c r="D721" s="6"/>
      <c r="E721" s="6"/>
      <c r="F721" s="6"/>
      <c r="G721" s="6"/>
      <c r="H721" s="6"/>
      <c r="I721" s="6"/>
      <c r="J721" s="7"/>
    </row>
    <row r="722" ht="21" customHeight="1">
      <c r="A722" s="141"/>
      <c r="B722" s="6"/>
      <c r="C722" s="6"/>
      <c r="D722" s="6"/>
      <c r="E722" s="6"/>
      <c r="F722" s="6"/>
      <c r="G722" s="6"/>
      <c r="H722" s="6"/>
      <c r="I722" s="6"/>
      <c r="J722" s="7"/>
    </row>
    <row r="723" ht="21" customHeight="1">
      <c r="A723" s="141"/>
      <c r="B723" s="6"/>
      <c r="C723" s="6"/>
      <c r="D723" s="6"/>
      <c r="E723" s="6"/>
      <c r="F723" s="6"/>
      <c r="G723" s="6"/>
      <c r="H723" s="6"/>
      <c r="I723" s="6"/>
      <c r="J723" s="7"/>
    </row>
    <row r="724" ht="21" customHeight="1">
      <c r="A724" s="141"/>
      <c r="B724" s="6"/>
      <c r="C724" s="6"/>
      <c r="D724" s="6"/>
      <c r="E724" s="6"/>
      <c r="F724" s="6"/>
      <c r="G724" s="6"/>
      <c r="H724" s="6"/>
      <c r="I724" s="6"/>
      <c r="J724" s="7"/>
    </row>
    <row r="725" ht="21" customHeight="1">
      <c r="A725" s="141"/>
      <c r="B725" s="6"/>
      <c r="C725" s="6"/>
      <c r="D725" s="6"/>
      <c r="E725" s="6"/>
      <c r="F725" s="6"/>
      <c r="G725" s="6"/>
      <c r="H725" s="6"/>
      <c r="I725" s="6"/>
      <c r="J725" s="7"/>
    </row>
    <row r="726" ht="21" customHeight="1">
      <c r="A726" s="141"/>
      <c r="B726" s="6"/>
      <c r="C726" s="6"/>
      <c r="D726" s="6"/>
      <c r="E726" s="6"/>
      <c r="F726" s="6"/>
      <c r="G726" s="6"/>
      <c r="H726" s="6"/>
      <c r="I726" s="6"/>
      <c r="J726" s="7"/>
    </row>
    <row r="727" ht="21" customHeight="1">
      <c r="A727" s="141"/>
      <c r="B727" s="6"/>
      <c r="C727" s="6"/>
      <c r="D727" s="6"/>
      <c r="E727" s="6"/>
      <c r="F727" s="6"/>
      <c r="G727" s="6"/>
      <c r="H727" s="6"/>
      <c r="I727" s="6"/>
      <c r="J727" s="7"/>
    </row>
    <row r="728" ht="21" customHeight="1">
      <c r="A728" s="141"/>
      <c r="B728" s="6"/>
      <c r="C728" s="6"/>
      <c r="D728" s="6"/>
      <c r="E728" s="6"/>
      <c r="F728" s="6"/>
      <c r="G728" s="6"/>
      <c r="H728" s="6"/>
      <c r="I728" s="6"/>
      <c r="J728" s="7"/>
    </row>
    <row r="729" ht="21" customHeight="1">
      <c r="A729" s="141"/>
      <c r="B729" s="6"/>
      <c r="C729" s="6"/>
      <c r="D729" s="6"/>
      <c r="E729" s="6"/>
      <c r="F729" s="6"/>
      <c r="G729" s="6"/>
      <c r="H729" s="6"/>
      <c r="I729" s="6"/>
      <c r="J729" s="7"/>
    </row>
    <row r="730" ht="21" customHeight="1">
      <c r="A730" s="141"/>
      <c r="B730" s="6"/>
      <c r="C730" s="6"/>
      <c r="D730" s="6"/>
      <c r="E730" s="6"/>
      <c r="F730" s="6"/>
      <c r="G730" s="6"/>
      <c r="H730" s="6"/>
      <c r="I730" s="6"/>
      <c r="J730" s="7"/>
    </row>
    <row r="731" ht="21" customHeight="1">
      <c r="A731" s="141"/>
      <c r="B731" s="6"/>
      <c r="C731" s="6"/>
      <c r="D731" s="6"/>
      <c r="E731" s="6"/>
      <c r="F731" s="6"/>
      <c r="G731" s="6"/>
      <c r="H731" s="6"/>
      <c r="I731" s="6"/>
      <c r="J731" s="7"/>
    </row>
    <row r="732" ht="21" customHeight="1">
      <c r="A732" s="141"/>
      <c r="B732" s="6"/>
      <c r="C732" s="6"/>
      <c r="D732" s="6"/>
      <c r="E732" s="6"/>
      <c r="F732" s="6"/>
      <c r="G732" s="6"/>
      <c r="H732" s="6"/>
      <c r="I732" s="6"/>
      <c r="J732" s="7"/>
    </row>
    <row r="733" ht="21" customHeight="1">
      <c r="A733" s="141"/>
      <c r="B733" s="6"/>
      <c r="C733" s="6"/>
      <c r="D733" s="6"/>
      <c r="E733" s="6"/>
      <c r="F733" s="6"/>
      <c r="G733" s="6"/>
      <c r="H733" s="6"/>
      <c r="I733" s="6"/>
      <c r="J733" s="7"/>
    </row>
    <row r="734" ht="21" customHeight="1">
      <c r="A734" s="141"/>
      <c r="B734" s="6"/>
      <c r="C734" s="6"/>
      <c r="D734" s="6"/>
      <c r="E734" s="6"/>
      <c r="F734" s="6"/>
      <c r="G734" s="6"/>
      <c r="H734" s="6"/>
      <c r="I734" s="6"/>
      <c r="J734" s="7"/>
    </row>
    <row r="735" ht="21" customHeight="1">
      <c r="A735" s="141"/>
      <c r="B735" s="6"/>
      <c r="C735" s="6"/>
      <c r="D735" s="6"/>
      <c r="E735" s="6"/>
      <c r="F735" s="6"/>
      <c r="G735" s="6"/>
      <c r="H735" s="6"/>
      <c r="I735" s="6"/>
      <c r="J735" s="7"/>
    </row>
    <row r="736" ht="21" customHeight="1">
      <c r="A736" s="141"/>
      <c r="B736" s="6"/>
      <c r="C736" s="6"/>
      <c r="D736" s="6"/>
      <c r="E736" s="6"/>
      <c r="F736" s="6"/>
      <c r="G736" s="6"/>
      <c r="H736" s="6"/>
      <c r="I736" s="6"/>
      <c r="J736" s="7"/>
    </row>
    <row r="737" ht="21" customHeight="1">
      <c r="A737" s="141"/>
      <c r="B737" s="6"/>
      <c r="C737" s="6"/>
      <c r="D737" s="6"/>
      <c r="E737" s="6"/>
      <c r="F737" s="6"/>
      <c r="G737" s="6"/>
      <c r="H737" s="6"/>
      <c r="I737" s="6"/>
      <c r="J737" s="7"/>
    </row>
    <row r="738" ht="21" customHeight="1">
      <c r="A738" s="141"/>
      <c r="B738" s="6"/>
      <c r="C738" s="6"/>
      <c r="D738" s="6"/>
      <c r="E738" s="6"/>
      <c r="F738" s="6"/>
      <c r="G738" s="6"/>
      <c r="H738" s="6"/>
      <c r="I738" s="6"/>
      <c r="J738" s="7"/>
    </row>
    <row r="739" ht="21" customHeight="1">
      <c r="A739" s="141"/>
      <c r="B739" s="6"/>
      <c r="C739" s="6"/>
      <c r="D739" s="6"/>
      <c r="E739" s="6"/>
      <c r="F739" s="6"/>
      <c r="G739" s="6"/>
      <c r="H739" s="6"/>
      <c r="I739" s="6"/>
      <c r="J739" s="7"/>
    </row>
    <row r="740" ht="21" customHeight="1">
      <c r="A740" s="141"/>
      <c r="B740" s="6"/>
      <c r="C740" s="6"/>
      <c r="D740" s="6"/>
      <c r="E740" s="6"/>
      <c r="F740" s="6"/>
      <c r="G740" s="6"/>
      <c r="H740" s="6"/>
      <c r="I740" s="6"/>
      <c r="J740" s="7"/>
    </row>
    <row r="741" ht="21" customHeight="1">
      <c r="A741" s="141"/>
      <c r="B741" s="6"/>
      <c r="C741" s="6"/>
      <c r="D741" s="6"/>
      <c r="E741" s="6"/>
      <c r="F741" s="6"/>
      <c r="G741" s="6"/>
      <c r="H741" s="6"/>
      <c r="I741" s="6"/>
      <c r="J741" s="7"/>
    </row>
    <row r="742" ht="21" customHeight="1">
      <c r="A742" s="141"/>
      <c r="B742" s="6"/>
      <c r="C742" s="6"/>
      <c r="D742" s="6"/>
      <c r="E742" s="6"/>
      <c r="F742" s="6"/>
      <c r="G742" s="6"/>
      <c r="H742" s="6"/>
      <c r="I742" s="6"/>
      <c r="J742" s="7"/>
    </row>
    <row r="743" ht="21" customHeight="1">
      <c r="A743" s="141"/>
      <c r="B743" s="6"/>
      <c r="C743" s="6"/>
      <c r="D743" s="6"/>
      <c r="E743" s="6"/>
      <c r="F743" s="6"/>
      <c r="G743" s="6"/>
      <c r="H743" s="6"/>
      <c r="I743" s="6"/>
      <c r="J743" s="7"/>
    </row>
    <row r="744" ht="21" customHeight="1">
      <c r="A744" s="141"/>
      <c r="B744" s="6"/>
      <c r="C744" s="6"/>
      <c r="D744" s="6"/>
      <c r="E744" s="6"/>
      <c r="F744" s="6"/>
      <c r="G744" s="6"/>
      <c r="H744" s="6"/>
      <c r="I744" s="6"/>
      <c r="J744" s="7"/>
    </row>
    <row r="745" ht="21" customHeight="1">
      <c r="A745" s="141"/>
      <c r="B745" s="6"/>
      <c r="C745" s="6"/>
      <c r="D745" s="6"/>
      <c r="E745" s="6"/>
      <c r="F745" s="6"/>
      <c r="G745" s="6"/>
      <c r="H745" s="6"/>
      <c r="I745" s="6"/>
      <c r="J745" s="7"/>
    </row>
    <row r="746" ht="21" customHeight="1">
      <c r="A746" s="141"/>
      <c r="B746" s="6"/>
      <c r="C746" s="6"/>
      <c r="D746" s="6"/>
      <c r="E746" s="6"/>
      <c r="F746" s="6"/>
      <c r="G746" s="6"/>
      <c r="H746" s="6"/>
      <c r="I746" s="6"/>
      <c r="J746" s="7"/>
    </row>
    <row r="747" ht="21" customHeight="1">
      <c r="A747" s="141"/>
      <c r="B747" s="6"/>
      <c r="C747" s="6"/>
      <c r="D747" s="6"/>
      <c r="E747" s="6"/>
      <c r="F747" s="6"/>
      <c r="G747" s="6"/>
      <c r="H747" s="6"/>
      <c r="I747" s="6"/>
      <c r="J747" s="7"/>
    </row>
    <row r="748" ht="21" customHeight="1">
      <c r="A748" s="141"/>
      <c r="B748" s="6"/>
      <c r="C748" s="6"/>
      <c r="D748" s="6"/>
      <c r="E748" s="6"/>
      <c r="F748" s="6"/>
      <c r="G748" s="6"/>
      <c r="H748" s="6"/>
      <c r="I748" s="6"/>
      <c r="J748" s="7"/>
    </row>
    <row r="749" ht="21" customHeight="1">
      <c r="A749" s="141"/>
      <c r="B749" s="6"/>
      <c r="C749" s="6"/>
      <c r="D749" s="6"/>
      <c r="E749" s="6"/>
      <c r="F749" s="6"/>
      <c r="G749" s="6"/>
      <c r="H749" s="6"/>
      <c r="I749" s="6"/>
      <c r="J749" s="7"/>
    </row>
    <row r="750" ht="21" customHeight="1">
      <c r="A750" s="141"/>
      <c r="B750" s="6"/>
      <c r="C750" s="6"/>
      <c r="D750" s="6"/>
      <c r="E750" s="6"/>
      <c r="F750" s="6"/>
      <c r="G750" s="6"/>
      <c r="H750" s="6"/>
      <c r="I750" s="6"/>
      <c r="J750" s="7"/>
    </row>
    <row r="751" ht="21" customHeight="1">
      <c r="A751" s="141"/>
      <c r="B751" s="6"/>
      <c r="C751" s="6"/>
      <c r="D751" s="6"/>
      <c r="E751" s="6"/>
      <c r="F751" s="6"/>
      <c r="G751" s="6"/>
      <c r="H751" s="6"/>
      <c r="I751" s="6"/>
      <c r="J751" s="7"/>
    </row>
    <row r="752" ht="21" customHeight="1">
      <c r="A752" s="141"/>
      <c r="B752" s="6"/>
      <c r="C752" s="6"/>
      <c r="D752" s="6"/>
      <c r="E752" s="6"/>
      <c r="F752" s="6"/>
      <c r="G752" s="6"/>
      <c r="H752" s="6"/>
      <c r="I752" s="6"/>
      <c r="J752" s="7"/>
    </row>
    <row r="753" ht="21" customHeight="1">
      <c r="A753" s="141"/>
      <c r="B753" s="6"/>
      <c r="C753" s="6"/>
      <c r="D753" s="6"/>
      <c r="E753" s="6"/>
      <c r="F753" s="6"/>
      <c r="G753" s="6"/>
      <c r="H753" s="6"/>
      <c r="I753" s="6"/>
      <c r="J753" s="7"/>
    </row>
    <row r="754" ht="21" customHeight="1">
      <c r="A754" s="141"/>
      <c r="B754" s="6"/>
      <c r="C754" s="6"/>
      <c r="D754" s="6"/>
      <c r="E754" s="6"/>
      <c r="F754" s="6"/>
      <c r="G754" s="6"/>
      <c r="H754" s="6"/>
      <c r="I754" s="6"/>
      <c r="J754" s="7"/>
    </row>
    <row r="755" ht="21" customHeight="1">
      <c r="A755" s="141"/>
      <c r="B755" s="6"/>
      <c r="C755" s="6"/>
      <c r="D755" s="6"/>
      <c r="E755" s="6"/>
      <c r="F755" s="6"/>
      <c r="G755" s="6"/>
      <c r="H755" s="6"/>
      <c r="I755" s="6"/>
      <c r="J755" s="7"/>
    </row>
    <row r="756" ht="21" customHeight="1">
      <c r="A756" s="141"/>
      <c r="B756" s="6"/>
      <c r="C756" s="6"/>
      <c r="D756" s="6"/>
      <c r="E756" s="6"/>
      <c r="F756" s="6"/>
      <c r="G756" s="6"/>
      <c r="H756" s="6"/>
      <c r="I756" s="6"/>
      <c r="J756" s="7"/>
    </row>
    <row r="757" ht="21" customHeight="1">
      <c r="A757" s="141"/>
      <c r="B757" s="6"/>
      <c r="C757" s="6"/>
      <c r="D757" s="6"/>
      <c r="E757" s="6"/>
      <c r="F757" s="6"/>
      <c r="G757" s="6"/>
      <c r="H757" s="6"/>
      <c r="I757" s="6"/>
      <c r="J757" s="7"/>
    </row>
    <row r="758" ht="21" customHeight="1">
      <c r="A758" s="141"/>
      <c r="B758" s="6"/>
      <c r="C758" s="6"/>
      <c r="D758" s="6"/>
      <c r="E758" s="6"/>
      <c r="F758" s="6"/>
      <c r="G758" s="6"/>
      <c r="H758" s="6"/>
      <c r="I758" s="6"/>
      <c r="J758" s="7"/>
    </row>
    <row r="759" ht="21" customHeight="1">
      <c r="A759" s="141"/>
      <c r="B759" s="6"/>
      <c r="C759" s="6"/>
      <c r="D759" s="6"/>
      <c r="E759" s="6"/>
      <c r="F759" s="6"/>
      <c r="G759" s="6"/>
      <c r="H759" s="6"/>
      <c r="I759" s="6"/>
      <c r="J759" s="7"/>
    </row>
    <row r="760" ht="21" customHeight="1">
      <c r="A760" s="141"/>
      <c r="B760" s="6"/>
      <c r="C760" s="6"/>
      <c r="D760" s="6"/>
      <c r="E760" s="6"/>
      <c r="F760" s="6"/>
      <c r="G760" s="6"/>
      <c r="H760" s="6"/>
      <c r="I760" s="6"/>
      <c r="J760" s="7"/>
    </row>
    <row r="761" ht="21" customHeight="1">
      <c r="A761" s="141"/>
      <c r="B761" s="6"/>
      <c r="C761" s="6"/>
      <c r="D761" s="6"/>
      <c r="E761" s="6"/>
      <c r="F761" s="6"/>
      <c r="G761" s="6"/>
      <c r="H761" s="6"/>
      <c r="I761" s="6"/>
      <c r="J761" s="7"/>
    </row>
    <row r="762" ht="21" customHeight="1">
      <c r="A762" s="141"/>
      <c r="B762" s="6"/>
      <c r="C762" s="6"/>
      <c r="D762" s="6"/>
      <c r="E762" s="6"/>
      <c r="F762" s="6"/>
      <c r="G762" s="6"/>
      <c r="H762" s="6"/>
      <c r="I762" s="6"/>
      <c r="J762" s="7"/>
    </row>
    <row r="763" ht="21" customHeight="1">
      <c r="A763" s="141"/>
      <c r="B763" s="6"/>
      <c r="C763" s="6"/>
      <c r="D763" s="6"/>
      <c r="E763" s="6"/>
      <c r="F763" s="6"/>
      <c r="G763" s="6"/>
      <c r="H763" s="6"/>
      <c r="I763" s="6"/>
      <c r="J763" s="7"/>
    </row>
    <row r="764" ht="21" customHeight="1">
      <c r="A764" s="141"/>
      <c r="B764" s="6"/>
      <c r="C764" s="6"/>
      <c r="D764" s="6"/>
      <c r="E764" s="6"/>
      <c r="F764" s="6"/>
      <c r="G764" s="6"/>
      <c r="H764" s="6"/>
      <c r="I764" s="6"/>
      <c r="J764" s="7"/>
    </row>
    <row r="765" ht="21" customHeight="1">
      <c r="A765" s="141"/>
      <c r="B765" s="6"/>
      <c r="C765" s="6"/>
      <c r="D765" s="6"/>
      <c r="E765" s="6"/>
      <c r="F765" s="6"/>
      <c r="G765" s="6"/>
      <c r="H765" s="6"/>
      <c r="I765" s="6"/>
      <c r="J765" s="7"/>
    </row>
    <row r="766" ht="21" customHeight="1">
      <c r="A766" s="141"/>
      <c r="B766" s="6"/>
      <c r="C766" s="6"/>
      <c r="D766" s="6"/>
      <c r="E766" s="6"/>
      <c r="F766" s="6"/>
      <c r="G766" s="6"/>
      <c r="H766" s="6"/>
      <c r="I766" s="6"/>
      <c r="J766" s="7"/>
    </row>
    <row r="767" ht="21" customHeight="1">
      <c r="A767" s="141"/>
      <c r="B767" s="6"/>
      <c r="C767" s="6"/>
      <c r="D767" s="6"/>
      <c r="E767" s="6"/>
      <c r="F767" s="6"/>
      <c r="G767" s="6"/>
      <c r="H767" s="6"/>
      <c r="I767" s="6"/>
      <c r="J767" s="7"/>
    </row>
    <row r="768" ht="21" customHeight="1">
      <c r="A768" s="141"/>
      <c r="B768" s="6"/>
      <c r="C768" s="6"/>
      <c r="D768" s="6"/>
      <c r="E768" s="6"/>
      <c r="F768" s="6"/>
      <c r="G768" s="6"/>
      <c r="H768" s="6"/>
      <c r="I768" s="6"/>
      <c r="J768" s="7"/>
    </row>
    <row r="769" ht="21" customHeight="1">
      <c r="A769" s="141"/>
      <c r="B769" s="6"/>
      <c r="C769" s="6"/>
      <c r="D769" s="6"/>
      <c r="E769" s="6"/>
      <c r="F769" s="6"/>
      <c r="G769" s="6"/>
      <c r="H769" s="6"/>
      <c r="I769" s="6"/>
      <c r="J769" s="7"/>
    </row>
    <row r="770" ht="21" customHeight="1">
      <c r="A770" s="141"/>
      <c r="B770" s="6"/>
      <c r="C770" s="6"/>
      <c r="D770" s="6"/>
      <c r="E770" s="6"/>
      <c r="F770" s="6"/>
      <c r="G770" s="6"/>
      <c r="H770" s="6"/>
      <c r="I770" s="6"/>
      <c r="J770" s="7"/>
    </row>
    <row r="771" ht="21" customHeight="1">
      <c r="A771" s="141"/>
      <c r="B771" s="6"/>
      <c r="C771" s="6"/>
      <c r="D771" s="6"/>
      <c r="E771" s="6"/>
      <c r="F771" s="6"/>
      <c r="G771" s="6"/>
      <c r="H771" s="6"/>
      <c r="I771" s="6"/>
      <c r="J771" s="7"/>
    </row>
    <row r="772" ht="21" customHeight="1">
      <c r="A772" s="141"/>
      <c r="B772" s="6"/>
      <c r="C772" s="6"/>
      <c r="D772" s="6"/>
      <c r="E772" s="6"/>
      <c r="F772" s="6"/>
      <c r="G772" s="6"/>
      <c r="H772" s="6"/>
      <c r="I772" s="6"/>
      <c r="J772" s="7"/>
    </row>
    <row r="773" ht="21" customHeight="1">
      <c r="A773" s="141"/>
      <c r="B773" s="6"/>
      <c r="C773" s="6"/>
      <c r="D773" s="6"/>
      <c r="E773" s="6"/>
      <c r="F773" s="6"/>
      <c r="G773" s="6"/>
      <c r="H773" s="6"/>
      <c r="I773" s="6"/>
      <c r="J773" s="7"/>
    </row>
    <row r="774" ht="21" customHeight="1">
      <c r="A774" s="141"/>
      <c r="B774" s="6"/>
      <c r="C774" s="6"/>
      <c r="D774" s="6"/>
      <c r="E774" s="6"/>
      <c r="F774" s="6"/>
      <c r="G774" s="6"/>
      <c r="H774" s="6"/>
      <c r="I774" s="6"/>
      <c r="J774" s="7"/>
    </row>
    <row r="775" ht="21" customHeight="1">
      <c r="A775" s="141"/>
      <c r="B775" s="6"/>
      <c r="C775" s="6"/>
      <c r="D775" s="6"/>
      <c r="E775" s="6"/>
      <c r="F775" s="6"/>
      <c r="G775" s="6"/>
      <c r="H775" s="6"/>
      <c r="I775" s="6"/>
      <c r="J775" s="7"/>
    </row>
    <row r="776" ht="21" customHeight="1">
      <c r="A776" s="141"/>
      <c r="B776" s="6"/>
      <c r="C776" s="6"/>
      <c r="D776" s="6"/>
      <c r="E776" s="6"/>
      <c r="F776" s="6"/>
      <c r="G776" s="6"/>
      <c r="H776" s="6"/>
      <c r="I776" s="6"/>
      <c r="J776" s="7"/>
    </row>
    <row r="777" ht="21" customHeight="1">
      <c r="A777" s="141"/>
      <c r="B777" s="6"/>
      <c r="C777" s="6"/>
      <c r="D777" s="6"/>
      <c r="E777" s="6"/>
      <c r="F777" s="6"/>
      <c r="G777" s="6"/>
      <c r="H777" s="6"/>
      <c r="I777" s="6"/>
      <c r="J777" s="7"/>
    </row>
    <row r="778" ht="21" customHeight="1">
      <c r="A778" s="141"/>
      <c r="B778" s="6"/>
      <c r="C778" s="6"/>
      <c r="D778" s="6"/>
      <c r="E778" s="6"/>
      <c r="F778" s="6"/>
      <c r="G778" s="6"/>
      <c r="H778" s="6"/>
      <c r="I778" s="6"/>
      <c r="J778" s="7"/>
    </row>
    <row r="779" ht="21" customHeight="1">
      <c r="A779" s="141"/>
      <c r="B779" s="6"/>
      <c r="C779" s="6"/>
      <c r="D779" s="6"/>
      <c r="E779" s="6"/>
      <c r="F779" s="6"/>
      <c r="G779" s="6"/>
      <c r="H779" s="6"/>
      <c r="I779" s="6"/>
      <c r="J779" s="7"/>
    </row>
    <row r="780" ht="21" customHeight="1">
      <c r="A780" s="141"/>
      <c r="B780" s="6"/>
      <c r="C780" s="6"/>
      <c r="D780" s="6"/>
      <c r="E780" s="6"/>
      <c r="F780" s="6"/>
      <c r="G780" s="6"/>
      <c r="H780" s="6"/>
      <c r="I780" s="6"/>
      <c r="J780" s="7"/>
    </row>
    <row r="781" ht="21" customHeight="1">
      <c r="A781" s="141"/>
      <c r="B781" s="6"/>
      <c r="C781" s="6"/>
      <c r="D781" s="6"/>
      <c r="E781" s="6"/>
      <c r="F781" s="6"/>
      <c r="G781" s="6"/>
      <c r="H781" s="6"/>
      <c r="I781" s="6"/>
      <c r="J781" s="7"/>
    </row>
    <row r="782" ht="21" customHeight="1">
      <c r="A782" s="141"/>
      <c r="B782" s="6"/>
      <c r="C782" s="6"/>
      <c r="D782" s="6"/>
      <c r="E782" s="6"/>
      <c r="F782" s="6"/>
      <c r="G782" s="6"/>
      <c r="H782" s="6"/>
      <c r="I782" s="6"/>
      <c r="J782" s="7"/>
    </row>
    <row r="783" ht="21" customHeight="1">
      <c r="A783" s="141"/>
      <c r="B783" s="6"/>
      <c r="C783" s="6"/>
      <c r="D783" s="6"/>
      <c r="E783" s="6"/>
      <c r="F783" s="6"/>
      <c r="G783" s="6"/>
      <c r="H783" s="6"/>
      <c r="I783" s="6"/>
      <c r="J783" s="7"/>
    </row>
    <row r="784" ht="21" customHeight="1">
      <c r="A784" s="141"/>
      <c r="B784" s="6"/>
      <c r="C784" s="6"/>
      <c r="D784" s="6"/>
      <c r="E784" s="6"/>
      <c r="F784" s="6"/>
      <c r="G784" s="6"/>
      <c r="H784" s="6"/>
      <c r="I784" s="6"/>
      <c r="J784" s="7"/>
    </row>
    <row r="785" ht="21" customHeight="1">
      <c r="A785" s="141"/>
      <c r="B785" s="6"/>
      <c r="C785" s="6"/>
      <c r="D785" s="6"/>
      <c r="E785" s="6"/>
      <c r="F785" s="6"/>
      <c r="G785" s="6"/>
      <c r="H785" s="6"/>
      <c r="I785" s="6"/>
      <c r="J785" s="7"/>
    </row>
    <row r="786" ht="21" customHeight="1">
      <c r="A786" s="141"/>
      <c r="B786" s="6"/>
      <c r="C786" s="6"/>
      <c r="D786" s="6"/>
      <c r="E786" s="6"/>
      <c r="F786" s="6"/>
      <c r="G786" s="6"/>
      <c r="H786" s="6"/>
      <c r="I786" s="6"/>
      <c r="J786" s="7"/>
    </row>
    <row r="787" ht="21" customHeight="1">
      <c r="A787" s="141"/>
      <c r="B787" s="6"/>
      <c r="C787" s="6"/>
      <c r="D787" s="6"/>
      <c r="E787" s="6"/>
      <c r="F787" s="6"/>
      <c r="G787" s="6"/>
      <c r="H787" s="6"/>
      <c r="I787" s="6"/>
      <c r="J787" s="7"/>
    </row>
    <row r="788" ht="21" customHeight="1">
      <c r="A788" s="141"/>
      <c r="B788" s="6"/>
      <c r="C788" s="6"/>
      <c r="D788" s="6"/>
      <c r="E788" s="6"/>
      <c r="F788" s="6"/>
      <c r="G788" s="6"/>
      <c r="H788" s="6"/>
      <c r="I788" s="6"/>
      <c r="J788" s="7"/>
    </row>
    <row r="789" ht="21" customHeight="1">
      <c r="A789" s="141"/>
      <c r="B789" s="6"/>
      <c r="C789" s="6"/>
      <c r="D789" s="6"/>
      <c r="E789" s="6"/>
      <c r="F789" s="6"/>
      <c r="G789" s="6"/>
      <c r="H789" s="6"/>
      <c r="I789" s="6"/>
      <c r="J789" s="7"/>
    </row>
    <row r="790" ht="21" customHeight="1">
      <c r="A790" s="141"/>
      <c r="B790" s="6"/>
      <c r="C790" s="6"/>
      <c r="D790" s="6"/>
      <c r="E790" s="6"/>
      <c r="F790" s="6"/>
      <c r="G790" s="6"/>
      <c r="H790" s="6"/>
      <c r="I790" s="6"/>
      <c r="J790" s="7"/>
    </row>
    <row r="791" ht="21" customHeight="1">
      <c r="A791" s="141"/>
      <c r="B791" s="6"/>
      <c r="C791" s="6"/>
      <c r="D791" s="6"/>
      <c r="E791" s="6"/>
      <c r="F791" s="6"/>
      <c r="G791" s="6"/>
      <c r="H791" s="6"/>
      <c r="I791" s="6"/>
      <c r="J791" s="7"/>
    </row>
    <row r="792" ht="21" customHeight="1">
      <c r="A792" s="141"/>
      <c r="B792" s="6"/>
      <c r="C792" s="6"/>
      <c r="D792" s="6"/>
      <c r="E792" s="6"/>
      <c r="F792" s="6"/>
      <c r="G792" s="6"/>
      <c r="H792" s="6"/>
      <c r="I792" s="6"/>
      <c r="J792" s="7"/>
    </row>
    <row r="793" ht="21" customHeight="1">
      <c r="A793" s="141"/>
      <c r="B793" s="6"/>
      <c r="C793" s="6"/>
      <c r="D793" s="6"/>
      <c r="E793" s="6"/>
      <c r="F793" s="6"/>
      <c r="G793" s="6"/>
      <c r="H793" s="6"/>
      <c r="I793" s="6"/>
      <c r="J793" s="7"/>
    </row>
    <row r="794" ht="21" customHeight="1">
      <c r="A794" s="141"/>
      <c r="B794" s="6"/>
      <c r="C794" s="6"/>
      <c r="D794" s="6"/>
      <c r="E794" s="6"/>
      <c r="F794" s="6"/>
      <c r="G794" s="6"/>
      <c r="H794" s="6"/>
      <c r="I794" s="6"/>
      <c r="J794" s="7"/>
    </row>
    <row r="795" ht="21" customHeight="1">
      <c r="A795" s="141"/>
      <c r="B795" s="6"/>
      <c r="C795" s="6"/>
      <c r="D795" s="6"/>
      <c r="E795" s="6"/>
      <c r="F795" s="6"/>
      <c r="G795" s="6"/>
      <c r="H795" s="6"/>
      <c r="I795" s="6"/>
      <c r="J795" s="7"/>
    </row>
    <row r="796" ht="21" customHeight="1">
      <c r="A796" s="141"/>
      <c r="B796" s="6"/>
      <c r="C796" s="6"/>
      <c r="D796" s="6"/>
      <c r="E796" s="6"/>
      <c r="F796" s="6"/>
      <c r="G796" s="6"/>
      <c r="H796" s="6"/>
      <c r="I796" s="6"/>
      <c r="J796" s="7"/>
    </row>
    <row r="797" ht="21" customHeight="1">
      <c r="A797" s="141"/>
      <c r="B797" s="6"/>
      <c r="C797" s="6"/>
      <c r="D797" s="6"/>
      <c r="E797" s="6"/>
      <c r="F797" s="6"/>
      <c r="G797" s="6"/>
      <c r="H797" s="6"/>
      <c r="I797" s="6"/>
      <c r="J797" s="7"/>
    </row>
    <row r="798" ht="21" customHeight="1">
      <c r="A798" s="141"/>
      <c r="B798" s="6"/>
      <c r="C798" s="6"/>
      <c r="D798" s="6"/>
      <c r="E798" s="6"/>
      <c r="F798" s="6"/>
      <c r="G798" s="6"/>
      <c r="H798" s="6"/>
      <c r="I798" s="6"/>
      <c r="J798" s="7"/>
    </row>
    <row r="799" ht="21" customHeight="1">
      <c r="A799" s="141"/>
      <c r="B799" s="6"/>
      <c r="C799" s="6"/>
      <c r="D799" s="6"/>
      <c r="E799" s="6"/>
      <c r="F799" s="6"/>
      <c r="G799" s="6"/>
      <c r="H799" s="6"/>
      <c r="I799" s="6"/>
      <c r="J799" s="7"/>
    </row>
    <row r="800" ht="21" customHeight="1">
      <c r="A800" s="141"/>
      <c r="B800" s="6"/>
      <c r="C800" s="6"/>
      <c r="D800" s="6"/>
      <c r="E800" s="6"/>
      <c r="F800" s="6"/>
      <c r="G800" s="6"/>
      <c r="H800" s="6"/>
      <c r="I800" s="6"/>
      <c r="J800" s="7"/>
    </row>
    <row r="801" ht="21" customHeight="1">
      <c r="A801" s="141"/>
      <c r="B801" s="6"/>
      <c r="C801" s="6"/>
      <c r="D801" s="6"/>
      <c r="E801" s="6"/>
      <c r="F801" s="6"/>
      <c r="G801" s="6"/>
      <c r="H801" s="6"/>
      <c r="I801" s="6"/>
      <c r="J801" s="7"/>
    </row>
    <row r="802" ht="21" customHeight="1">
      <c r="A802" s="141"/>
      <c r="B802" s="6"/>
      <c r="C802" s="6"/>
      <c r="D802" s="6"/>
      <c r="E802" s="6"/>
      <c r="F802" s="6"/>
      <c r="G802" s="6"/>
      <c r="H802" s="6"/>
      <c r="I802" s="6"/>
      <c r="J802" s="7"/>
    </row>
    <row r="803" ht="21" customHeight="1">
      <c r="A803" s="141"/>
      <c r="B803" s="6"/>
      <c r="C803" s="6"/>
      <c r="D803" s="6"/>
      <c r="E803" s="6"/>
      <c r="F803" s="6"/>
      <c r="G803" s="6"/>
      <c r="H803" s="6"/>
      <c r="I803" s="6"/>
      <c r="J803" s="7"/>
    </row>
    <row r="804" ht="21" customHeight="1">
      <c r="A804" s="141"/>
      <c r="B804" s="6"/>
      <c r="C804" s="6"/>
      <c r="D804" s="6"/>
      <c r="E804" s="6"/>
      <c r="F804" s="6"/>
      <c r="G804" s="6"/>
      <c r="H804" s="6"/>
      <c r="I804" s="6"/>
      <c r="J804" s="7"/>
    </row>
    <row r="805" ht="21" customHeight="1">
      <c r="A805" s="141"/>
      <c r="B805" s="6"/>
      <c r="C805" s="6"/>
      <c r="D805" s="6"/>
      <c r="E805" s="6"/>
      <c r="F805" s="6"/>
      <c r="G805" s="6"/>
      <c r="H805" s="6"/>
      <c r="I805" s="6"/>
      <c r="J805" s="7"/>
    </row>
    <row r="806" ht="21" customHeight="1">
      <c r="A806" s="141"/>
      <c r="B806" s="6"/>
      <c r="C806" s="6"/>
      <c r="D806" s="6"/>
      <c r="E806" s="6"/>
      <c r="F806" s="6"/>
      <c r="G806" s="6"/>
      <c r="H806" s="6"/>
      <c r="I806" s="6"/>
      <c r="J806" s="7"/>
    </row>
    <row r="807" ht="21" customHeight="1">
      <c r="A807" s="141"/>
      <c r="B807" s="6"/>
      <c r="C807" s="6"/>
      <c r="D807" s="6"/>
      <c r="E807" s="6"/>
      <c r="F807" s="6"/>
      <c r="G807" s="6"/>
      <c r="H807" s="6"/>
      <c r="I807" s="6"/>
      <c r="J807" s="7"/>
    </row>
    <row r="808" ht="21" customHeight="1">
      <c r="A808" s="141"/>
      <c r="B808" s="6"/>
      <c r="C808" s="6"/>
      <c r="D808" s="6"/>
      <c r="E808" s="6"/>
      <c r="F808" s="6"/>
      <c r="G808" s="6"/>
      <c r="H808" s="6"/>
      <c r="I808" s="6"/>
      <c r="J808" s="7"/>
    </row>
    <row r="809" ht="21" customHeight="1">
      <c r="A809" s="141"/>
      <c r="B809" s="6"/>
      <c r="C809" s="6"/>
      <c r="D809" s="6"/>
      <c r="E809" s="6"/>
      <c r="F809" s="6"/>
      <c r="G809" s="6"/>
      <c r="H809" s="6"/>
      <c r="I809" s="6"/>
      <c r="J809" s="7"/>
    </row>
    <row r="810" ht="21" customHeight="1">
      <c r="A810" s="141"/>
      <c r="B810" s="6"/>
      <c r="C810" s="6"/>
      <c r="D810" s="6"/>
      <c r="E810" s="6"/>
      <c r="F810" s="6"/>
      <c r="G810" s="6"/>
      <c r="H810" s="6"/>
      <c r="I810" s="6"/>
      <c r="J810" s="7"/>
    </row>
    <row r="811" ht="21" customHeight="1">
      <c r="A811" s="141"/>
      <c r="B811" s="6"/>
      <c r="C811" s="6"/>
      <c r="D811" s="6"/>
      <c r="E811" s="6"/>
      <c r="F811" s="6"/>
      <c r="G811" s="6"/>
      <c r="H811" s="6"/>
      <c r="I811" s="6"/>
      <c r="J811" s="7"/>
    </row>
    <row r="812" ht="21" customHeight="1">
      <c r="A812" s="141"/>
      <c r="B812" s="6"/>
      <c r="C812" s="6"/>
      <c r="D812" s="6"/>
      <c r="E812" s="6"/>
      <c r="F812" s="6"/>
      <c r="G812" s="6"/>
      <c r="H812" s="6"/>
      <c r="I812" s="6"/>
      <c r="J812" s="7"/>
    </row>
    <row r="813" ht="21" customHeight="1">
      <c r="A813" s="141"/>
      <c r="B813" s="6"/>
      <c r="C813" s="6"/>
      <c r="D813" s="6"/>
      <c r="E813" s="6"/>
      <c r="F813" s="6"/>
      <c r="G813" s="6"/>
      <c r="H813" s="6"/>
      <c r="I813" s="6"/>
      <c r="J813" s="7"/>
    </row>
    <row r="814" ht="21" customHeight="1">
      <c r="A814" s="141"/>
      <c r="B814" s="6"/>
      <c r="C814" s="6"/>
      <c r="D814" s="6"/>
      <c r="E814" s="6"/>
      <c r="F814" s="6"/>
      <c r="G814" s="6"/>
      <c r="H814" s="6"/>
      <c r="I814" s="6"/>
      <c r="J814" s="7"/>
    </row>
    <row r="815" ht="21" customHeight="1">
      <c r="A815" s="141"/>
      <c r="B815" s="6"/>
      <c r="C815" s="6"/>
      <c r="D815" s="6"/>
      <c r="E815" s="6"/>
      <c r="F815" s="6"/>
      <c r="G815" s="6"/>
      <c r="H815" s="6"/>
      <c r="I815" s="6"/>
      <c r="J815" s="7"/>
    </row>
    <row r="816" ht="21" customHeight="1">
      <c r="A816" s="141"/>
      <c r="B816" s="6"/>
      <c r="C816" s="6"/>
      <c r="D816" s="6"/>
      <c r="E816" s="6"/>
      <c r="F816" s="6"/>
      <c r="G816" s="6"/>
      <c r="H816" s="6"/>
      <c r="I816" s="6"/>
      <c r="J816" s="7"/>
    </row>
    <row r="817" ht="21" customHeight="1">
      <c r="A817" s="141"/>
      <c r="B817" s="6"/>
      <c r="C817" s="6"/>
      <c r="D817" s="6"/>
      <c r="E817" s="6"/>
      <c r="F817" s="6"/>
      <c r="G817" s="6"/>
      <c r="H817" s="6"/>
      <c r="I817" s="6"/>
      <c r="J817" s="7"/>
    </row>
    <row r="818" ht="21" customHeight="1">
      <c r="A818" s="141"/>
      <c r="B818" s="6"/>
      <c r="C818" s="6"/>
      <c r="D818" s="6"/>
      <c r="E818" s="6"/>
      <c r="F818" s="6"/>
      <c r="G818" s="6"/>
      <c r="H818" s="6"/>
      <c r="I818" s="6"/>
      <c r="J818" s="7"/>
    </row>
    <row r="819" ht="21" customHeight="1">
      <c r="A819" s="141"/>
      <c r="B819" s="6"/>
      <c r="C819" s="6"/>
      <c r="D819" s="6"/>
      <c r="E819" s="6"/>
      <c r="F819" s="6"/>
      <c r="G819" s="6"/>
      <c r="H819" s="6"/>
      <c r="I819" s="6"/>
      <c r="J819" s="7"/>
    </row>
    <row r="820" ht="21" customHeight="1">
      <c r="A820" s="141"/>
      <c r="B820" s="6"/>
      <c r="C820" s="6"/>
      <c r="D820" s="6"/>
      <c r="E820" s="6"/>
      <c r="F820" s="6"/>
      <c r="G820" s="6"/>
      <c r="H820" s="6"/>
      <c r="I820" s="6"/>
      <c r="J820" s="7"/>
    </row>
    <row r="821" ht="21" customHeight="1">
      <c r="A821" s="141"/>
      <c r="B821" s="6"/>
      <c r="C821" s="6"/>
      <c r="D821" s="6"/>
      <c r="E821" s="6"/>
      <c r="F821" s="6"/>
      <c r="G821" s="6"/>
      <c r="H821" s="6"/>
      <c r="I821" s="6"/>
      <c r="J821" s="7"/>
    </row>
    <row r="822" ht="21" customHeight="1">
      <c r="A822" s="141"/>
      <c r="B822" s="6"/>
      <c r="C822" s="6"/>
      <c r="D822" s="6"/>
      <c r="E822" s="6"/>
      <c r="F822" s="6"/>
      <c r="G822" s="6"/>
      <c r="H822" s="6"/>
      <c r="I822" s="6"/>
      <c r="J822" s="7"/>
    </row>
    <row r="823" ht="21" customHeight="1">
      <c r="A823" s="141"/>
      <c r="B823" s="6"/>
      <c r="C823" s="6"/>
      <c r="D823" s="6"/>
      <c r="E823" s="6"/>
      <c r="F823" s="6"/>
      <c r="G823" s="6"/>
      <c r="H823" s="6"/>
      <c r="I823" s="6"/>
      <c r="J823" s="7"/>
    </row>
    <row r="824" ht="21" customHeight="1">
      <c r="A824" s="141"/>
      <c r="B824" s="6"/>
      <c r="C824" s="6"/>
      <c r="D824" s="6"/>
      <c r="E824" s="6"/>
      <c r="F824" s="6"/>
      <c r="G824" s="6"/>
      <c r="H824" s="6"/>
      <c r="I824" s="6"/>
      <c r="J824" s="7"/>
    </row>
    <row r="825" ht="21" customHeight="1">
      <c r="A825" s="141"/>
      <c r="B825" s="6"/>
      <c r="C825" s="6"/>
      <c r="D825" s="6"/>
      <c r="E825" s="6"/>
      <c r="F825" s="6"/>
      <c r="G825" s="6"/>
      <c r="H825" s="6"/>
      <c r="I825" s="6"/>
      <c r="J825" s="7"/>
    </row>
    <row r="826" ht="21" customHeight="1">
      <c r="A826" s="141"/>
      <c r="B826" s="6"/>
      <c r="C826" s="6"/>
      <c r="D826" s="6"/>
      <c r="E826" s="6"/>
      <c r="F826" s="6"/>
      <c r="G826" s="6"/>
      <c r="H826" s="6"/>
      <c r="I826" s="6"/>
      <c r="J826" s="7"/>
    </row>
    <row r="827" ht="21" customHeight="1">
      <c r="A827" s="141"/>
      <c r="B827" s="6"/>
      <c r="C827" s="6"/>
      <c r="D827" s="6"/>
      <c r="E827" s="6"/>
      <c r="F827" s="6"/>
      <c r="G827" s="6"/>
      <c r="H827" s="6"/>
      <c r="I827" s="6"/>
      <c r="J827" s="7"/>
    </row>
    <row r="828" ht="21" customHeight="1">
      <c r="A828" s="141"/>
      <c r="B828" s="6"/>
      <c r="C828" s="6"/>
      <c r="D828" s="6"/>
      <c r="E828" s="6"/>
      <c r="F828" s="6"/>
      <c r="G828" s="6"/>
      <c r="H828" s="6"/>
      <c r="I828" s="6"/>
      <c r="J828" s="7"/>
    </row>
    <row r="829" ht="21" customHeight="1">
      <c r="A829" s="141"/>
      <c r="B829" s="6"/>
      <c r="C829" s="6"/>
      <c r="D829" s="6"/>
      <c r="E829" s="6"/>
      <c r="F829" s="6"/>
      <c r="G829" s="6"/>
      <c r="H829" s="6"/>
      <c r="I829" s="6"/>
      <c r="J829" s="7"/>
    </row>
    <row r="830" ht="21" customHeight="1">
      <c r="A830" s="141"/>
      <c r="B830" s="6"/>
      <c r="C830" s="6"/>
      <c r="D830" s="6"/>
      <c r="E830" s="6"/>
      <c r="F830" s="6"/>
      <c r="G830" s="6"/>
      <c r="H830" s="6"/>
      <c r="I830" s="6"/>
      <c r="J830" s="7"/>
    </row>
    <row r="831" ht="21" customHeight="1">
      <c r="A831" s="141"/>
      <c r="B831" s="6"/>
      <c r="C831" s="6"/>
      <c r="D831" s="6"/>
      <c r="E831" s="6"/>
      <c r="F831" s="6"/>
      <c r="G831" s="6"/>
      <c r="H831" s="6"/>
      <c r="I831" s="6"/>
      <c r="J831" s="7"/>
    </row>
    <row r="832" ht="21" customHeight="1">
      <c r="A832" s="141"/>
      <c r="B832" s="6"/>
      <c r="C832" s="6"/>
      <c r="D832" s="6"/>
      <c r="E832" s="6"/>
      <c r="F832" s="6"/>
      <c r="G832" s="6"/>
      <c r="H832" s="6"/>
      <c r="I832" s="6"/>
      <c r="J832" s="7"/>
    </row>
    <row r="833" ht="21" customHeight="1">
      <c r="A833" s="141"/>
      <c r="B833" s="6"/>
      <c r="C833" s="6"/>
      <c r="D833" s="6"/>
      <c r="E833" s="6"/>
      <c r="F833" s="6"/>
      <c r="G833" s="6"/>
      <c r="H833" s="6"/>
      <c r="I833" s="6"/>
      <c r="J833" s="7"/>
    </row>
    <row r="834" ht="21" customHeight="1">
      <c r="A834" s="141"/>
      <c r="B834" s="6"/>
      <c r="C834" s="6"/>
      <c r="D834" s="6"/>
      <c r="E834" s="6"/>
      <c r="F834" s="6"/>
      <c r="G834" s="6"/>
      <c r="H834" s="6"/>
      <c r="I834" s="6"/>
      <c r="J834" s="7"/>
    </row>
    <row r="835" ht="21" customHeight="1">
      <c r="A835" s="141"/>
      <c r="B835" s="6"/>
      <c r="C835" s="6"/>
      <c r="D835" s="6"/>
      <c r="E835" s="6"/>
      <c r="F835" s="6"/>
      <c r="G835" s="6"/>
      <c r="H835" s="6"/>
      <c r="I835" s="6"/>
      <c r="J835" s="7"/>
    </row>
    <row r="836" ht="21" customHeight="1">
      <c r="A836" s="141"/>
      <c r="B836" s="6"/>
      <c r="C836" s="6"/>
      <c r="D836" s="6"/>
      <c r="E836" s="6"/>
      <c r="F836" s="6"/>
      <c r="G836" s="6"/>
      <c r="H836" s="6"/>
      <c r="I836" s="6"/>
      <c r="J836" s="7"/>
    </row>
    <row r="837" ht="21" customHeight="1">
      <c r="A837" s="141"/>
      <c r="B837" s="6"/>
      <c r="C837" s="6"/>
      <c r="D837" s="6"/>
      <c r="E837" s="6"/>
      <c r="F837" s="6"/>
      <c r="G837" s="6"/>
      <c r="H837" s="6"/>
      <c r="I837" s="6"/>
      <c r="J837" s="7"/>
    </row>
    <row r="838" ht="21" customHeight="1">
      <c r="A838" s="141"/>
      <c r="B838" s="6"/>
      <c r="C838" s="6"/>
      <c r="D838" s="6"/>
      <c r="E838" s="6"/>
      <c r="F838" s="6"/>
      <c r="G838" s="6"/>
      <c r="H838" s="6"/>
      <c r="I838" s="6"/>
      <c r="J838" s="7"/>
    </row>
    <row r="839" ht="21" customHeight="1">
      <c r="A839" s="141"/>
      <c r="B839" s="6"/>
      <c r="C839" s="6"/>
      <c r="D839" s="6"/>
      <c r="E839" s="6"/>
      <c r="F839" s="6"/>
      <c r="G839" s="6"/>
      <c r="H839" s="6"/>
      <c r="I839" s="6"/>
      <c r="J839" s="7"/>
    </row>
    <row r="840" ht="21" customHeight="1">
      <c r="A840" s="141"/>
      <c r="B840" s="6"/>
      <c r="C840" s="6"/>
      <c r="D840" s="6"/>
      <c r="E840" s="6"/>
      <c r="F840" s="6"/>
      <c r="G840" s="6"/>
      <c r="H840" s="6"/>
      <c r="I840" s="6"/>
      <c r="J840" s="7"/>
    </row>
    <row r="841" ht="21" customHeight="1">
      <c r="A841" s="141"/>
      <c r="B841" s="6"/>
      <c r="C841" s="6"/>
      <c r="D841" s="6"/>
      <c r="E841" s="6"/>
      <c r="F841" s="6"/>
      <c r="G841" s="6"/>
      <c r="H841" s="6"/>
      <c r="I841" s="6"/>
      <c r="J841" s="7"/>
    </row>
    <row r="842" ht="21" customHeight="1">
      <c r="A842" s="141"/>
      <c r="B842" s="6"/>
      <c r="C842" s="6"/>
      <c r="D842" s="6"/>
      <c r="E842" s="6"/>
      <c r="F842" s="6"/>
      <c r="G842" s="6"/>
      <c r="H842" s="6"/>
      <c r="I842" s="6"/>
      <c r="J842" s="7"/>
    </row>
    <row r="843" ht="21" customHeight="1">
      <c r="A843" s="141"/>
      <c r="B843" s="6"/>
      <c r="C843" s="6"/>
      <c r="D843" s="6"/>
      <c r="E843" s="6"/>
      <c r="F843" s="6"/>
      <c r="G843" s="6"/>
      <c r="H843" s="6"/>
      <c r="I843" s="6"/>
      <c r="J843" s="7"/>
    </row>
    <row r="844" ht="21" customHeight="1">
      <c r="A844" s="141"/>
      <c r="B844" s="6"/>
      <c r="C844" s="6"/>
      <c r="D844" s="6"/>
      <c r="E844" s="6"/>
      <c r="F844" s="6"/>
      <c r="G844" s="6"/>
      <c r="H844" s="6"/>
      <c r="I844" s="6"/>
      <c r="J844" s="7"/>
    </row>
    <row r="845" ht="21" customHeight="1">
      <c r="A845" s="141"/>
      <c r="B845" s="6"/>
      <c r="C845" s="6"/>
      <c r="D845" s="6"/>
      <c r="E845" s="6"/>
      <c r="F845" s="6"/>
      <c r="G845" s="6"/>
      <c r="H845" s="6"/>
      <c r="I845" s="6"/>
      <c r="J845" s="7"/>
    </row>
    <row r="846" ht="21" customHeight="1">
      <c r="A846" s="141"/>
      <c r="B846" s="6"/>
      <c r="C846" s="6"/>
      <c r="D846" s="6"/>
      <c r="E846" s="6"/>
      <c r="F846" s="6"/>
      <c r="G846" s="6"/>
      <c r="H846" s="6"/>
      <c r="I846" s="6"/>
      <c r="J846" s="7"/>
    </row>
    <row r="847" ht="21" customHeight="1">
      <c r="A847" s="141"/>
      <c r="B847" s="6"/>
      <c r="C847" s="6"/>
      <c r="D847" s="6"/>
      <c r="E847" s="6"/>
      <c r="F847" s="6"/>
      <c r="G847" s="6"/>
      <c r="H847" s="6"/>
      <c r="I847" s="6"/>
      <c r="J847" s="7"/>
    </row>
    <row r="848" ht="21" customHeight="1">
      <c r="A848" s="141"/>
      <c r="B848" s="6"/>
      <c r="C848" s="6"/>
      <c r="D848" s="6"/>
      <c r="E848" s="6"/>
      <c r="F848" s="6"/>
      <c r="G848" s="6"/>
      <c r="H848" s="6"/>
      <c r="I848" s="6"/>
      <c r="J848" s="7"/>
    </row>
    <row r="849" ht="21" customHeight="1">
      <c r="A849" s="141"/>
      <c r="B849" s="6"/>
      <c r="C849" s="6"/>
      <c r="D849" s="6"/>
      <c r="E849" s="6"/>
      <c r="F849" s="6"/>
      <c r="G849" s="6"/>
      <c r="H849" s="6"/>
      <c r="I849" s="6"/>
      <c r="J849" s="7"/>
    </row>
    <row r="850" ht="21" customHeight="1">
      <c r="A850" s="141"/>
      <c r="B850" s="6"/>
      <c r="C850" s="6"/>
      <c r="D850" s="6"/>
      <c r="E850" s="6"/>
      <c r="F850" s="6"/>
      <c r="G850" s="6"/>
      <c r="H850" s="6"/>
      <c r="I850" s="6"/>
      <c r="J850" s="7"/>
    </row>
    <row r="851" ht="21" customHeight="1">
      <c r="A851" s="141"/>
      <c r="B851" s="6"/>
      <c r="C851" s="6"/>
      <c r="D851" s="6"/>
      <c r="E851" s="6"/>
      <c r="F851" s="6"/>
      <c r="G851" s="6"/>
      <c r="H851" s="6"/>
      <c r="I851" s="6"/>
      <c r="J851" s="7"/>
    </row>
    <row r="852" ht="21" customHeight="1">
      <c r="A852" s="141"/>
      <c r="B852" s="6"/>
      <c r="C852" s="6"/>
      <c r="D852" s="6"/>
      <c r="E852" s="6"/>
      <c r="F852" s="6"/>
      <c r="G852" s="6"/>
      <c r="H852" s="6"/>
      <c r="I852" s="6"/>
      <c r="J852" s="7"/>
    </row>
    <row r="853" ht="21" customHeight="1">
      <c r="A853" s="141"/>
      <c r="B853" s="6"/>
      <c r="C853" s="6"/>
      <c r="D853" s="6"/>
      <c r="E853" s="6"/>
      <c r="F853" s="6"/>
      <c r="G853" s="6"/>
      <c r="H853" s="6"/>
      <c r="I853" s="6"/>
      <c r="J853" s="7"/>
    </row>
    <row r="854" ht="21" customHeight="1">
      <c r="A854" s="141"/>
      <c r="B854" s="6"/>
      <c r="C854" s="6"/>
      <c r="D854" s="6"/>
      <c r="E854" s="6"/>
      <c r="F854" s="6"/>
      <c r="G854" s="6"/>
      <c r="H854" s="6"/>
      <c r="I854" s="6"/>
      <c r="J854" s="7"/>
    </row>
    <row r="855" ht="21" customHeight="1">
      <c r="A855" s="141"/>
      <c r="B855" s="6"/>
      <c r="C855" s="6"/>
      <c r="D855" s="6"/>
      <c r="E855" s="6"/>
      <c r="F855" s="6"/>
      <c r="G855" s="6"/>
      <c r="H855" s="6"/>
      <c r="I855" s="6"/>
      <c r="J855" s="7"/>
    </row>
    <row r="856" ht="21" customHeight="1">
      <c r="A856" s="141"/>
      <c r="B856" s="6"/>
      <c r="C856" s="6"/>
      <c r="D856" s="6"/>
      <c r="E856" s="6"/>
      <c r="F856" s="6"/>
      <c r="G856" s="6"/>
      <c r="H856" s="6"/>
      <c r="I856" s="6"/>
      <c r="J856" s="7"/>
    </row>
    <row r="857" ht="21" customHeight="1">
      <c r="A857" s="141"/>
      <c r="B857" s="6"/>
      <c r="C857" s="6"/>
      <c r="D857" s="6"/>
      <c r="E857" s="6"/>
      <c r="F857" s="6"/>
      <c r="G857" s="6"/>
      <c r="H857" s="6"/>
      <c r="I857" s="6"/>
      <c r="J857" s="7"/>
    </row>
    <row r="858" ht="21" customHeight="1">
      <c r="A858" s="141"/>
      <c r="B858" s="6"/>
      <c r="C858" s="6"/>
      <c r="D858" s="6"/>
      <c r="E858" s="6"/>
      <c r="F858" s="6"/>
      <c r="G858" s="6"/>
      <c r="H858" s="6"/>
      <c r="I858" s="6"/>
      <c r="J858" s="7"/>
    </row>
    <row r="859" ht="21" customHeight="1">
      <c r="A859" s="141"/>
      <c r="B859" s="6"/>
      <c r="C859" s="6"/>
      <c r="D859" s="6"/>
      <c r="E859" s="6"/>
      <c r="F859" s="6"/>
      <c r="G859" s="6"/>
      <c r="H859" s="6"/>
      <c r="I859" s="6"/>
      <c r="J859" s="7"/>
    </row>
    <row r="860" ht="21" customHeight="1">
      <c r="A860" s="141"/>
      <c r="B860" s="6"/>
      <c r="C860" s="6"/>
      <c r="D860" s="6"/>
      <c r="E860" s="6"/>
      <c r="F860" s="6"/>
      <c r="G860" s="6"/>
      <c r="H860" s="6"/>
      <c r="I860" s="6"/>
      <c r="J860" s="7"/>
    </row>
    <row r="861" ht="21" customHeight="1">
      <c r="A861" s="141"/>
      <c r="B861" s="6"/>
      <c r="C861" s="6"/>
      <c r="D861" s="6"/>
      <c r="E861" s="6"/>
      <c r="F861" s="6"/>
      <c r="G861" s="6"/>
      <c r="H861" s="6"/>
      <c r="I861" s="6"/>
      <c r="J861" s="7"/>
    </row>
    <row r="862" ht="21" customHeight="1">
      <c r="A862" s="141"/>
      <c r="B862" s="6"/>
      <c r="C862" s="6"/>
      <c r="D862" s="6"/>
      <c r="E862" s="6"/>
      <c r="F862" s="6"/>
      <c r="G862" s="6"/>
      <c r="H862" s="6"/>
      <c r="I862" s="6"/>
      <c r="J862" s="7"/>
    </row>
    <row r="863" ht="21" customHeight="1">
      <c r="A863" s="141"/>
      <c r="B863" s="6"/>
      <c r="C863" s="6"/>
      <c r="D863" s="6"/>
      <c r="E863" s="6"/>
      <c r="F863" s="6"/>
      <c r="G863" s="6"/>
      <c r="H863" s="6"/>
      <c r="I863" s="6"/>
      <c r="J863" s="7"/>
    </row>
    <row r="864" ht="21" customHeight="1">
      <c r="A864" s="141"/>
      <c r="B864" s="6"/>
      <c r="C864" s="6"/>
      <c r="D864" s="6"/>
      <c r="E864" s="6"/>
      <c r="F864" s="6"/>
      <c r="G864" s="6"/>
      <c r="H864" s="6"/>
      <c r="I864" s="6"/>
      <c r="J864" s="7"/>
    </row>
    <row r="865" ht="21" customHeight="1">
      <c r="A865" s="141"/>
      <c r="B865" s="6"/>
      <c r="C865" s="6"/>
      <c r="D865" s="6"/>
      <c r="E865" s="6"/>
      <c r="F865" s="6"/>
      <c r="G865" s="6"/>
      <c r="H865" s="6"/>
      <c r="I865" s="6"/>
      <c r="J865" s="7"/>
    </row>
    <row r="866" ht="21" customHeight="1">
      <c r="A866" s="141"/>
      <c r="B866" s="6"/>
      <c r="C866" s="6"/>
      <c r="D866" s="6"/>
      <c r="E866" s="6"/>
      <c r="F866" s="6"/>
      <c r="G866" s="6"/>
      <c r="H866" s="6"/>
      <c r="I866" s="6"/>
      <c r="J866" s="7"/>
    </row>
    <row r="867" ht="21" customHeight="1">
      <c r="A867" s="141"/>
      <c r="B867" s="6"/>
      <c r="C867" s="6"/>
      <c r="D867" s="6"/>
      <c r="E867" s="6"/>
      <c r="F867" s="6"/>
      <c r="G867" s="6"/>
      <c r="H867" s="6"/>
      <c r="I867" s="6"/>
      <c r="J867" s="7"/>
    </row>
    <row r="868" ht="21" customHeight="1">
      <c r="A868" s="141"/>
      <c r="B868" s="6"/>
      <c r="C868" s="6"/>
      <c r="D868" s="6"/>
      <c r="E868" s="6"/>
      <c r="F868" s="6"/>
      <c r="G868" s="6"/>
      <c r="H868" s="6"/>
      <c r="I868" s="6"/>
      <c r="J868" s="7"/>
    </row>
    <row r="869" ht="21" customHeight="1">
      <c r="A869" s="141"/>
      <c r="B869" s="6"/>
      <c r="C869" s="6"/>
      <c r="D869" s="6"/>
      <c r="E869" s="6"/>
      <c r="F869" s="6"/>
      <c r="G869" s="6"/>
      <c r="H869" s="6"/>
      <c r="I869" s="6"/>
      <c r="J869" s="7"/>
    </row>
    <row r="870" ht="21" customHeight="1">
      <c r="A870" s="141"/>
      <c r="B870" s="6"/>
      <c r="C870" s="6"/>
      <c r="D870" s="6"/>
      <c r="E870" s="6"/>
      <c r="F870" s="6"/>
      <c r="G870" s="6"/>
      <c r="H870" s="6"/>
      <c r="I870" s="6"/>
      <c r="J870" s="7"/>
    </row>
    <row r="871" ht="21" customHeight="1">
      <c r="A871" s="141"/>
      <c r="B871" s="6"/>
      <c r="C871" s="6"/>
      <c r="D871" s="6"/>
      <c r="E871" s="6"/>
      <c r="F871" s="6"/>
      <c r="G871" s="6"/>
      <c r="H871" s="6"/>
      <c r="I871" s="6"/>
      <c r="J871" s="7"/>
    </row>
    <row r="872" ht="21" customHeight="1">
      <c r="A872" s="141"/>
      <c r="B872" s="6"/>
      <c r="C872" s="6"/>
      <c r="D872" s="6"/>
      <c r="E872" s="6"/>
      <c r="F872" s="6"/>
      <c r="G872" s="6"/>
      <c r="H872" s="6"/>
      <c r="I872" s="6"/>
      <c r="J872" s="7"/>
    </row>
    <row r="873" ht="21" customHeight="1">
      <c r="A873" s="141"/>
      <c r="B873" s="6"/>
      <c r="C873" s="6"/>
      <c r="D873" s="6"/>
      <c r="E873" s="6"/>
      <c r="F873" s="6"/>
      <c r="G873" s="6"/>
      <c r="H873" s="6"/>
      <c r="I873" s="6"/>
      <c r="J873" s="7"/>
    </row>
    <row r="874" ht="21" customHeight="1">
      <c r="A874" s="141"/>
      <c r="B874" s="6"/>
      <c r="C874" s="6"/>
      <c r="D874" s="6"/>
      <c r="E874" s="6"/>
      <c r="F874" s="6"/>
      <c r="G874" s="6"/>
      <c r="H874" s="6"/>
      <c r="I874" s="6"/>
      <c r="J874" s="7"/>
    </row>
    <row r="875" ht="21" customHeight="1">
      <c r="A875" s="141"/>
      <c r="B875" s="6"/>
      <c r="C875" s="6"/>
      <c r="D875" s="6"/>
      <c r="E875" s="6"/>
      <c r="F875" s="6"/>
      <c r="G875" s="6"/>
      <c r="H875" s="6"/>
      <c r="I875" s="6"/>
      <c r="J875" s="7"/>
    </row>
    <row r="876" ht="21" customHeight="1">
      <c r="A876" s="141"/>
      <c r="B876" s="6"/>
      <c r="C876" s="6"/>
      <c r="D876" s="6"/>
      <c r="E876" s="6"/>
      <c r="F876" s="6"/>
      <c r="G876" s="6"/>
      <c r="H876" s="6"/>
      <c r="I876" s="6"/>
      <c r="J876" s="7"/>
    </row>
    <row r="877" ht="21" customHeight="1">
      <c r="A877" s="141"/>
      <c r="B877" s="6"/>
      <c r="C877" s="6"/>
      <c r="D877" s="6"/>
      <c r="E877" s="6"/>
      <c r="F877" s="6"/>
      <c r="G877" s="6"/>
      <c r="H877" s="6"/>
      <c r="I877" s="6"/>
      <c r="J877" s="7"/>
    </row>
    <row r="878" ht="21" customHeight="1">
      <c r="A878" s="141"/>
      <c r="B878" s="6"/>
      <c r="C878" s="6"/>
      <c r="D878" s="6"/>
      <c r="E878" s="6"/>
      <c r="F878" s="6"/>
      <c r="G878" s="6"/>
      <c r="H878" s="6"/>
      <c r="I878" s="6"/>
      <c r="J878" s="7"/>
    </row>
    <row r="879" ht="21" customHeight="1">
      <c r="A879" s="141"/>
      <c r="B879" s="6"/>
      <c r="C879" s="6"/>
      <c r="D879" s="6"/>
      <c r="E879" s="6"/>
      <c r="F879" s="6"/>
      <c r="G879" s="6"/>
      <c r="H879" s="6"/>
      <c r="I879" s="6"/>
      <c r="J879" s="7"/>
    </row>
    <row r="880" ht="21" customHeight="1">
      <c r="A880" s="141"/>
      <c r="B880" s="6"/>
      <c r="C880" s="6"/>
      <c r="D880" s="6"/>
      <c r="E880" s="6"/>
      <c r="F880" s="6"/>
      <c r="G880" s="6"/>
      <c r="H880" s="6"/>
      <c r="I880" s="6"/>
      <c r="J880" s="7"/>
    </row>
    <row r="881" ht="21" customHeight="1">
      <c r="A881" s="141"/>
      <c r="B881" s="6"/>
      <c r="C881" s="6"/>
      <c r="D881" s="6"/>
      <c r="E881" s="6"/>
      <c r="F881" s="6"/>
      <c r="G881" s="6"/>
      <c r="H881" s="6"/>
      <c r="I881" s="6"/>
      <c r="J881" s="7"/>
    </row>
    <row r="882" ht="21" customHeight="1">
      <c r="A882" s="141"/>
      <c r="B882" s="6"/>
      <c r="C882" s="6"/>
      <c r="D882" s="6"/>
      <c r="E882" s="6"/>
      <c r="F882" s="6"/>
      <c r="G882" s="6"/>
      <c r="H882" s="6"/>
      <c r="I882" s="6"/>
      <c r="J882" s="7"/>
    </row>
    <row r="883" ht="21" customHeight="1">
      <c r="A883" s="141"/>
      <c r="B883" s="6"/>
      <c r="C883" s="6"/>
      <c r="D883" s="6"/>
      <c r="E883" s="6"/>
      <c r="F883" s="6"/>
      <c r="G883" s="6"/>
      <c r="H883" s="6"/>
      <c r="I883" s="6"/>
      <c r="J883" s="7"/>
    </row>
    <row r="884" ht="21" customHeight="1">
      <c r="A884" s="141"/>
      <c r="B884" s="6"/>
      <c r="C884" s="6"/>
      <c r="D884" s="6"/>
      <c r="E884" s="6"/>
      <c r="F884" s="6"/>
      <c r="G884" s="6"/>
      <c r="H884" s="6"/>
      <c r="I884" s="6"/>
      <c r="J884" s="7"/>
    </row>
    <row r="885" ht="21" customHeight="1">
      <c r="A885" s="141"/>
      <c r="B885" s="6"/>
      <c r="C885" s="6"/>
      <c r="D885" s="6"/>
      <c r="E885" s="6"/>
      <c r="F885" s="6"/>
      <c r="G885" s="6"/>
      <c r="H885" s="6"/>
      <c r="I885" s="6"/>
      <c r="J885" s="7"/>
    </row>
    <row r="886" ht="21" customHeight="1">
      <c r="A886" s="141"/>
      <c r="B886" s="6"/>
      <c r="C886" s="6"/>
      <c r="D886" s="6"/>
      <c r="E886" s="6"/>
      <c r="F886" s="6"/>
      <c r="G886" s="6"/>
      <c r="H886" s="6"/>
      <c r="I886" s="6"/>
      <c r="J886" s="7"/>
    </row>
    <row r="887" ht="21" customHeight="1">
      <c r="A887" s="141"/>
      <c r="B887" s="6"/>
      <c r="C887" s="6"/>
      <c r="D887" s="6"/>
      <c r="E887" s="6"/>
      <c r="F887" s="6"/>
      <c r="G887" s="6"/>
      <c r="H887" s="6"/>
      <c r="I887" s="6"/>
      <c r="J887" s="7"/>
    </row>
    <row r="888" ht="21" customHeight="1">
      <c r="A888" s="141"/>
      <c r="B888" s="6"/>
      <c r="C888" s="6"/>
      <c r="D888" s="6"/>
      <c r="E888" s="6"/>
      <c r="F888" s="6"/>
      <c r="G888" s="6"/>
      <c r="H888" s="6"/>
      <c r="I888" s="6"/>
      <c r="J888" s="7"/>
    </row>
    <row r="889" ht="21" customHeight="1">
      <c r="A889" s="141"/>
      <c r="B889" s="6"/>
      <c r="C889" s="6"/>
      <c r="D889" s="6"/>
      <c r="E889" s="6"/>
      <c r="F889" s="6"/>
      <c r="G889" s="6"/>
      <c r="H889" s="6"/>
      <c r="I889" s="6"/>
      <c r="J889" s="7"/>
    </row>
    <row r="890" ht="21" customHeight="1">
      <c r="A890" s="141"/>
      <c r="B890" s="6"/>
      <c r="C890" s="6"/>
      <c r="D890" s="6"/>
      <c r="E890" s="6"/>
      <c r="F890" s="6"/>
      <c r="G890" s="6"/>
      <c r="H890" s="6"/>
      <c r="I890" s="6"/>
      <c r="J890" s="7"/>
    </row>
    <row r="891" ht="21" customHeight="1">
      <c r="A891" s="141"/>
      <c r="B891" s="6"/>
      <c r="C891" s="6"/>
      <c r="D891" s="6"/>
      <c r="E891" s="6"/>
      <c r="F891" s="6"/>
      <c r="G891" s="6"/>
      <c r="H891" s="6"/>
      <c r="I891" s="6"/>
      <c r="J891" s="7"/>
    </row>
    <row r="892" ht="21" customHeight="1">
      <c r="A892" s="141"/>
      <c r="B892" s="6"/>
      <c r="C892" s="6"/>
      <c r="D892" s="6"/>
      <c r="E892" s="6"/>
      <c r="F892" s="6"/>
      <c r="G892" s="6"/>
      <c r="H892" s="6"/>
      <c r="I892" s="6"/>
      <c r="J892" s="7"/>
    </row>
    <row r="893" ht="21" customHeight="1">
      <c r="A893" s="141"/>
      <c r="B893" s="6"/>
      <c r="C893" s="6"/>
      <c r="D893" s="6"/>
      <c r="E893" s="6"/>
      <c r="F893" s="6"/>
      <c r="G893" s="6"/>
      <c r="H893" s="6"/>
      <c r="I893" s="6"/>
      <c r="J893" s="7"/>
    </row>
    <row r="894" ht="21" customHeight="1">
      <c r="A894" s="141"/>
      <c r="B894" s="6"/>
      <c r="C894" s="6"/>
      <c r="D894" s="6"/>
      <c r="E894" s="6"/>
      <c r="F894" s="6"/>
      <c r="G894" s="6"/>
      <c r="H894" s="6"/>
      <c r="I894" s="6"/>
      <c r="J894" s="7"/>
    </row>
    <row r="895" ht="21" customHeight="1">
      <c r="A895" s="141"/>
      <c r="B895" s="6"/>
      <c r="C895" s="6"/>
      <c r="D895" s="6"/>
      <c r="E895" s="6"/>
      <c r="F895" s="6"/>
      <c r="G895" s="6"/>
      <c r="H895" s="6"/>
      <c r="I895" s="6"/>
      <c r="J895" s="7"/>
    </row>
    <row r="896" ht="21" customHeight="1">
      <c r="A896" s="141"/>
      <c r="B896" s="6"/>
      <c r="C896" s="6"/>
      <c r="D896" s="6"/>
      <c r="E896" s="6"/>
      <c r="F896" s="6"/>
      <c r="G896" s="6"/>
      <c r="H896" s="6"/>
      <c r="I896" s="6"/>
      <c r="J896" s="7"/>
    </row>
    <row r="897" ht="21" customHeight="1">
      <c r="A897" s="141"/>
      <c r="B897" s="6"/>
      <c r="C897" s="6"/>
      <c r="D897" s="6"/>
      <c r="E897" s="6"/>
      <c r="F897" s="6"/>
      <c r="G897" s="6"/>
      <c r="H897" s="6"/>
      <c r="I897" s="6"/>
      <c r="J897" s="7"/>
    </row>
    <row r="898" ht="21" customHeight="1">
      <c r="A898" s="141"/>
      <c r="B898" s="6"/>
      <c r="C898" s="6"/>
      <c r="D898" s="6"/>
      <c r="E898" s="6"/>
      <c r="F898" s="6"/>
      <c r="G898" s="6"/>
      <c r="H898" s="6"/>
      <c r="I898" s="6"/>
      <c r="J898" s="7"/>
    </row>
    <row r="899" ht="21" customHeight="1">
      <c r="A899" s="141"/>
      <c r="B899" s="6"/>
      <c r="C899" s="6"/>
      <c r="D899" s="6"/>
      <c r="E899" s="6"/>
      <c r="F899" s="6"/>
      <c r="G899" s="6"/>
      <c r="H899" s="6"/>
      <c r="I899" s="6"/>
      <c r="J899" s="7"/>
    </row>
    <row r="900" ht="21" customHeight="1">
      <c r="A900" s="141"/>
      <c r="B900" s="6"/>
      <c r="C900" s="6"/>
      <c r="D900" s="6"/>
      <c r="E900" s="6"/>
      <c r="F900" s="6"/>
      <c r="G900" s="6"/>
      <c r="H900" s="6"/>
      <c r="I900" s="6"/>
      <c r="J900" s="7"/>
    </row>
    <row r="901" ht="21" customHeight="1">
      <c r="A901" s="141"/>
      <c r="B901" s="6"/>
      <c r="C901" s="6"/>
      <c r="D901" s="6"/>
      <c r="E901" s="6"/>
      <c r="F901" s="6"/>
      <c r="G901" s="6"/>
      <c r="H901" s="6"/>
      <c r="I901" s="6"/>
      <c r="J901" s="7"/>
    </row>
    <row r="902" ht="21" customHeight="1">
      <c r="A902" s="141"/>
      <c r="B902" s="6"/>
      <c r="C902" s="6"/>
      <c r="D902" s="6"/>
      <c r="E902" s="6"/>
      <c r="F902" s="6"/>
      <c r="G902" s="6"/>
      <c r="H902" s="6"/>
      <c r="I902" s="6"/>
      <c r="J902" s="7"/>
    </row>
    <row r="903" ht="21" customHeight="1">
      <c r="A903" s="141"/>
      <c r="B903" s="6"/>
      <c r="C903" s="6"/>
      <c r="D903" s="6"/>
      <c r="E903" s="6"/>
      <c r="F903" s="6"/>
      <c r="G903" s="6"/>
      <c r="H903" s="6"/>
      <c r="I903" s="6"/>
      <c r="J903" s="7"/>
    </row>
    <row r="904" ht="21" customHeight="1">
      <c r="A904" s="141"/>
      <c r="B904" s="6"/>
      <c r="C904" s="6"/>
      <c r="D904" s="6"/>
      <c r="E904" s="6"/>
      <c r="F904" s="6"/>
      <c r="G904" s="6"/>
      <c r="H904" s="6"/>
      <c r="I904" s="6"/>
      <c r="J904" s="7"/>
    </row>
    <row r="905" ht="21" customHeight="1">
      <c r="A905" s="141"/>
      <c r="B905" s="6"/>
      <c r="C905" s="6"/>
      <c r="D905" s="6"/>
      <c r="E905" s="6"/>
      <c r="F905" s="6"/>
      <c r="G905" s="6"/>
      <c r="H905" s="6"/>
      <c r="I905" s="6"/>
      <c r="J905" s="7"/>
    </row>
    <row r="906" ht="21" customHeight="1">
      <c r="A906" s="141"/>
      <c r="B906" s="6"/>
      <c r="C906" s="6"/>
      <c r="D906" s="6"/>
      <c r="E906" s="6"/>
      <c r="F906" s="6"/>
      <c r="G906" s="6"/>
      <c r="H906" s="6"/>
      <c r="I906" s="6"/>
      <c r="J906" s="7"/>
    </row>
    <row r="907" ht="21" customHeight="1">
      <c r="A907" s="141"/>
      <c r="B907" s="6"/>
      <c r="C907" s="6"/>
      <c r="D907" s="6"/>
      <c r="E907" s="6"/>
      <c r="F907" s="6"/>
      <c r="G907" s="6"/>
      <c r="H907" s="6"/>
      <c r="I907" s="6"/>
      <c r="J907" s="7"/>
    </row>
    <row r="908" ht="21" customHeight="1">
      <c r="A908" s="141"/>
      <c r="B908" s="6"/>
      <c r="C908" s="6"/>
      <c r="D908" s="6"/>
      <c r="E908" s="6"/>
      <c r="F908" s="6"/>
      <c r="G908" s="6"/>
      <c r="H908" s="6"/>
      <c r="I908" s="6"/>
      <c r="J908" s="7"/>
    </row>
    <row r="909" ht="21" customHeight="1">
      <c r="A909" s="141"/>
      <c r="B909" s="6"/>
      <c r="C909" s="6"/>
      <c r="D909" s="6"/>
      <c r="E909" s="6"/>
      <c r="F909" s="6"/>
      <c r="G909" s="6"/>
      <c r="H909" s="6"/>
      <c r="I909" s="6"/>
      <c r="J909" s="7"/>
    </row>
    <row r="910" ht="21" customHeight="1">
      <c r="A910" s="141"/>
      <c r="B910" s="6"/>
      <c r="C910" s="6"/>
      <c r="D910" s="6"/>
      <c r="E910" s="6"/>
      <c r="F910" s="6"/>
      <c r="G910" s="6"/>
      <c r="H910" s="6"/>
      <c r="I910" s="6"/>
      <c r="J910" s="7"/>
    </row>
    <row r="911" ht="21" customHeight="1">
      <c r="A911" s="141"/>
      <c r="B911" s="6"/>
      <c r="C911" s="6"/>
      <c r="D911" s="6"/>
      <c r="E911" s="6"/>
      <c r="F911" s="6"/>
      <c r="G911" s="6"/>
      <c r="H911" s="6"/>
      <c r="I911" s="6"/>
      <c r="J911" s="7"/>
    </row>
    <row r="912" ht="21" customHeight="1">
      <c r="A912" s="141"/>
      <c r="B912" s="6"/>
      <c r="C912" s="6"/>
      <c r="D912" s="6"/>
      <c r="E912" s="6"/>
      <c r="F912" s="6"/>
      <c r="G912" s="6"/>
      <c r="H912" s="6"/>
      <c r="I912" s="6"/>
      <c r="J912" s="7"/>
    </row>
    <row r="913" ht="21" customHeight="1">
      <c r="A913" s="141"/>
      <c r="B913" s="6"/>
      <c r="C913" s="6"/>
      <c r="D913" s="6"/>
      <c r="E913" s="6"/>
      <c r="F913" s="6"/>
      <c r="G913" s="6"/>
      <c r="H913" s="6"/>
      <c r="I913" s="6"/>
      <c r="J913" s="7"/>
    </row>
    <row r="914" ht="21" customHeight="1">
      <c r="A914" s="141"/>
      <c r="B914" s="6"/>
      <c r="C914" s="6"/>
      <c r="D914" s="6"/>
      <c r="E914" s="6"/>
      <c r="F914" s="6"/>
      <c r="G914" s="6"/>
      <c r="H914" s="6"/>
      <c r="I914" s="6"/>
      <c r="J914" s="7"/>
    </row>
    <row r="915" ht="21" customHeight="1">
      <c r="A915" s="141"/>
      <c r="B915" s="6"/>
      <c r="C915" s="6"/>
      <c r="D915" s="6"/>
      <c r="E915" s="6"/>
      <c r="F915" s="6"/>
      <c r="G915" s="6"/>
      <c r="H915" s="6"/>
      <c r="I915" s="6"/>
      <c r="J915" s="7"/>
    </row>
    <row r="916" ht="21" customHeight="1">
      <c r="A916" s="141"/>
      <c r="B916" s="6"/>
      <c r="C916" s="6"/>
      <c r="D916" s="6"/>
      <c r="E916" s="6"/>
      <c r="F916" s="6"/>
      <c r="G916" s="6"/>
      <c r="H916" s="6"/>
      <c r="I916" s="6"/>
      <c r="J916" s="7"/>
    </row>
    <row r="917" ht="21" customHeight="1">
      <c r="A917" s="141"/>
      <c r="B917" s="6"/>
      <c r="C917" s="6"/>
      <c r="D917" s="6"/>
      <c r="E917" s="6"/>
      <c r="F917" s="6"/>
      <c r="G917" s="6"/>
      <c r="H917" s="6"/>
      <c r="I917" s="6"/>
      <c r="J917" s="7"/>
    </row>
    <row r="918" ht="21" customHeight="1">
      <c r="A918" s="141"/>
      <c r="B918" s="6"/>
      <c r="C918" s="6"/>
      <c r="D918" s="6"/>
      <c r="E918" s="6"/>
      <c r="F918" s="6"/>
      <c r="G918" s="6"/>
      <c r="H918" s="6"/>
      <c r="I918" s="6"/>
      <c r="J918" s="7"/>
    </row>
    <row r="919" ht="21" customHeight="1">
      <c r="A919" s="141"/>
      <c r="B919" s="6"/>
      <c r="C919" s="6"/>
      <c r="D919" s="6"/>
      <c r="E919" s="6"/>
      <c r="F919" s="6"/>
      <c r="G919" s="6"/>
      <c r="H919" s="6"/>
      <c r="I919" s="6"/>
      <c r="J919" s="7"/>
    </row>
    <row r="920" ht="21" customHeight="1">
      <c r="A920" s="141"/>
      <c r="B920" s="6"/>
      <c r="C920" s="6"/>
      <c r="D920" s="6"/>
      <c r="E920" s="6"/>
      <c r="F920" s="6"/>
      <c r="G920" s="6"/>
      <c r="H920" s="6"/>
      <c r="I920" s="6"/>
      <c r="J920" s="7"/>
    </row>
    <row r="921" ht="21" customHeight="1">
      <c r="A921" s="141"/>
      <c r="B921" s="6"/>
      <c r="C921" s="6"/>
      <c r="D921" s="6"/>
      <c r="E921" s="6"/>
      <c r="F921" s="6"/>
      <c r="G921" s="6"/>
      <c r="H921" s="6"/>
      <c r="I921" s="6"/>
      <c r="J921" s="7"/>
    </row>
    <row r="922" ht="21" customHeight="1">
      <c r="A922" s="141"/>
      <c r="B922" s="6"/>
      <c r="C922" s="6"/>
      <c r="D922" s="6"/>
      <c r="E922" s="6"/>
      <c r="F922" s="6"/>
      <c r="G922" s="6"/>
      <c r="H922" s="6"/>
      <c r="I922" s="6"/>
      <c r="J922" s="7"/>
    </row>
    <row r="923" ht="21" customHeight="1">
      <c r="A923" s="141"/>
      <c r="B923" s="6"/>
      <c r="C923" s="6"/>
      <c r="D923" s="6"/>
      <c r="E923" s="6"/>
      <c r="F923" s="6"/>
      <c r="G923" s="6"/>
      <c r="H923" s="6"/>
      <c r="I923" s="6"/>
      <c r="J923" s="7"/>
    </row>
    <row r="924" ht="21" customHeight="1">
      <c r="A924" s="141"/>
      <c r="B924" s="6"/>
      <c r="C924" s="6"/>
      <c r="D924" s="6"/>
      <c r="E924" s="6"/>
      <c r="F924" s="6"/>
      <c r="G924" s="6"/>
      <c r="H924" s="6"/>
      <c r="I924" s="6"/>
      <c r="J924" s="7"/>
    </row>
    <row r="925" ht="21" customHeight="1">
      <c r="A925" s="141"/>
      <c r="B925" s="6"/>
      <c r="C925" s="6"/>
      <c r="D925" s="6"/>
      <c r="E925" s="6"/>
      <c r="F925" s="6"/>
      <c r="G925" s="6"/>
      <c r="H925" s="6"/>
      <c r="I925" s="6"/>
      <c r="J925" s="7"/>
    </row>
    <row r="926" ht="21" customHeight="1">
      <c r="A926" s="141"/>
      <c r="B926" s="6"/>
      <c r="C926" s="6"/>
      <c r="D926" s="6"/>
      <c r="E926" s="6"/>
      <c r="F926" s="6"/>
      <c r="G926" s="6"/>
      <c r="H926" s="6"/>
      <c r="I926" s="6"/>
      <c r="J926" s="7"/>
    </row>
    <row r="927" ht="21" customHeight="1">
      <c r="A927" s="141"/>
      <c r="B927" s="6"/>
      <c r="C927" s="6"/>
      <c r="D927" s="6"/>
      <c r="E927" s="6"/>
      <c r="F927" s="6"/>
      <c r="G927" s="6"/>
      <c r="H927" s="6"/>
      <c r="I927" s="6"/>
      <c r="J927" s="7"/>
    </row>
    <row r="928" ht="21" customHeight="1">
      <c r="A928" s="141"/>
      <c r="B928" s="6"/>
      <c r="C928" s="6"/>
      <c r="D928" s="6"/>
      <c r="E928" s="6"/>
      <c r="F928" s="6"/>
      <c r="G928" s="6"/>
      <c r="H928" s="6"/>
      <c r="I928" s="6"/>
      <c r="J928" s="7"/>
    </row>
    <row r="929" ht="21" customHeight="1">
      <c r="A929" s="141"/>
      <c r="B929" s="6"/>
      <c r="C929" s="6"/>
      <c r="D929" s="6"/>
      <c r="E929" s="6"/>
      <c r="F929" s="6"/>
      <c r="G929" s="6"/>
      <c r="H929" s="6"/>
      <c r="I929" s="6"/>
      <c r="J929" s="7"/>
    </row>
    <row r="930" ht="21" customHeight="1">
      <c r="A930" s="141"/>
      <c r="B930" s="6"/>
      <c r="C930" s="6"/>
      <c r="D930" s="6"/>
      <c r="E930" s="6"/>
      <c r="F930" s="6"/>
      <c r="G930" s="6"/>
      <c r="H930" s="6"/>
      <c r="I930" s="6"/>
      <c r="J930" s="7"/>
    </row>
    <row r="931" ht="21" customHeight="1">
      <c r="A931" s="141"/>
      <c r="B931" s="6"/>
      <c r="C931" s="6"/>
      <c r="D931" s="6"/>
      <c r="E931" s="6"/>
      <c r="F931" s="6"/>
      <c r="G931" s="6"/>
      <c r="H931" s="6"/>
      <c r="I931" s="6"/>
      <c r="J931" s="7"/>
    </row>
    <row r="932" ht="21" customHeight="1">
      <c r="A932" s="141"/>
      <c r="B932" s="6"/>
      <c r="C932" s="6"/>
      <c r="D932" s="6"/>
      <c r="E932" s="6"/>
      <c r="F932" s="6"/>
      <c r="G932" s="6"/>
      <c r="H932" s="6"/>
      <c r="I932" s="6"/>
      <c r="J932" s="7"/>
    </row>
    <row r="933" ht="21" customHeight="1">
      <c r="A933" s="141"/>
      <c r="B933" s="6"/>
      <c r="C933" s="6"/>
      <c r="D933" s="6"/>
      <c r="E933" s="6"/>
      <c r="F933" s="6"/>
      <c r="G933" s="6"/>
      <c r="H933" s="6"/>
      <c r="I933" s="6"/>
      <c r="J933" s="7"/>
    </row>
    <row r="934" ht="21" customHeight="1">
      <c r="A934" s="141"/>
      <c r="B934" s="6"/>
      <c r="C934" s="6"/>
      <c r="D934" s="6"/>
      <c r="E934" s="6"/>
      <c r="F934" s="6"/>
      <c r="G934" s="6"/>
      <c r="H934" s="6"/>
      <c r="I934" s="6"/>
      <c r="J934" s="7"/>
    </row>
    <row r="935" ht="21" customHeight="1">
      <c r="A935" s="141"/>
      <c r="B935" s="6"/>
      <c r="C935" s="6"/>
      <c r="D935" s="6"/>
      <c r="E935" s="6"/>
      <c r="F935" s="6"/>
      <c r="G935" s="6"/>
      <c r="H935" s="6"/>
      <c r="I935" s="6"/>
      <c r="J935" s="7"/>
    </row>
    <row r="936" ht="21" customHeight="1">
      <c r="A936" s="141"/>
      <c r="B936" s="6"/>
      <c r="C936" s="6"/>
      <c r="D936" s="6"/>
      <c r="E936" s="6"/>
      <c r="F936" s="6"/>
      <c r="G936" s="6"/>
      <c r="H936" s="6"/>
      <c r="I936" s="6"/>
      <c r="J936" s="7"/>
    </row>
    <row r="937" ht="21" customHeight="1">
      <c r="A937" s="141"/>
      <c r="B937" s="6"/>
      <c r="C937" s="6"/>
      <c r="D937" s="6"/>
      <c r="E937" s="6"/>
      <c r="F937" s="6"/>
      <c r="G937" s="6"/>
      <c r="H937" s="6"/>
      <c r="I937" s="6"/>
      <c r="J937" s="7"/>
    </row>
    <row r="938" ht="21" customHeight="1">
      <c r="A938" s="141"/>
      <c r="B938" s="6"/>
      <c r="C938" s="6"/>
      <c r="D938" s="6"/>
      <c r="E938" s="6"/>
      <c r="F938" s="6"/>
      <c r="G938" s="6"/>
      <c r="H938" s="6"/>
      <c r="I938" s="6"/>
      <c r="J938" s="7"/>
    </row>
    <row r="939" ht="21" customHeight="1">
      <c r="A939" s="141"/>
      <c r="B939" s="6"/>
      <c r="C939" s="6"/>
      <c r="D939" s="6"/>
      <c r="E939" s="6"/>
      <c r="F939" s="6"/>
      <c r="G939" s="6"/>
      <c r="H939" s="6"/>
      <c r="I939" s="6"/>
      <c r="J939" s="7"/>
    </row>
    <row r="940" ht="21" customHeight="1">
      <c r="A940" s="141"/>
      <c r="B940" s="6"/>
      <c r="C940" s="6"/>
      <c r="D940" s="6"/>
      <c r="E940" s="6"/>
      <c r="F940" s="6"/>
      <c r="G940" s="6"/>
      <c r="H940" s="6"/>
      <c r="I940" s="6"/>
      <c r="J940" s="7"/>
    </row>
    <row r="941" ht="21" customHeight="1">
      <c r="A941" s="141"/>
      <c r="B941" s="6"/>
      <c r="C941" s="6"/>
      <c r="D941" s="6"/>
      <c r="E941" s="6"/>
      <c r="F941" s="6"/>
      <c r="G941" s="6"/>
      <c r="H941" s="6"/>
      <c r="I941" s="6"/>
      <c r="J941" s="7"/>
    </row>
    <row r="942" ht="21" customHeight="1">
      <c r="A942" s="141"/>
      <c r="B942" s="6"/>
      <c r="C942" s="6"/>
      <c r="D942" s="6"/>
      <c r="E942" s="6"/>
      <c r="F942" s="6"/>
      <c r="G942" s="6"/>
      <c r="H942" s="6"/>
      <c r="I942" s="6"/>
      <c r="J942" s="7"/>
    </row>
    <row r="943" ht="21" customHeight="1">
      <c r="A943" s="141"/>
      <c r="B943" s="6"/>
      <c r="C943" s="6"/>
      <c r="D943" s="6"/>
      <c r="E943" s="6"/>
      <c r="F943" s="6"/>
      <c r="G943" s="6"/>
      <c r="H943" s="6"/>
      <c r="I943" s="6"/>
      <c r="J943" s="7"/>
    </row>
    <row r="944" ht="21" customHeight="1">
      <c r="A944" s="141"/>
      <c r="B944" s="6"/>
      <c r="C944" s="6"/>
      <c r="D944" s="6"/>
      <c r="E944" s="6"/>
      <c r="F944" s="6"/>
      <c r="G944" s="6"/>
      <c r="H944" s="6"/>
      <c r="I944" s="6"/>
      <c r="J944" s="7"/>
    </row>
    <row r="945" ht="21" customHeight="1">
      <c r="A945" s="141"/>
      <c r="B945" s="6"/>
      <c r="C945" s="6"/>
      <c r="D945" s="6"/>
      <c r="E945" s="6"/>
      <c r="F945" s="6"/>
      <c r="G945" s="6"/>
      <c r="H945" s="6"/>
      <c r="I945" s="6"/>
      <c r="J945" s="7"/>
    </row>
    <row r="946" ht="21" customHeight="1">
      <c r="A946" s="141"/>
      <c r="B946" s="6"/>
      <c r="C946" s="6"/>
      <c r="D946" s="6"/>
      <c r="E946" s="6"/>
      <c r="F946" s="6"/>
      <c r="G946" s="6"/>
      <c r="H946" s="6"/>
      <c r="I946" s="6"/>
      <c r="J946" s="7"/>
    </row>
    <row r="947" ht="21" customHeight="1">
      <c r="A947" s="141"/>
      <c r="B947" s="6"/>
      <c r="C947" s="6"/>
      <c r="D947" s="6"/>
      <c r="E947" s="6"/>
      <c r="F947" s="6"/>
      <c r="G947" s="6"/>
      <c r="H947" s="6"/>
      <c r="I947" s="6"/>
      <c r="J947" s="7"/>
    </row>
    <row r="948" ht="21" customHeight="1">
      <c r="A948" s="141"/>
      <c r="B948" s="6"/>
      <c r="C948" s="6"/>
      <c r="D948" s="6"/>
      <c r="E948" s="6"/>
      <c r="F948" s="6"/>
      <c r="G948" s="6"/>
      <c r="H948" s="6"/>
      <c r="I948" s="6"/>
      <c r="J948" s="7"/>
    </row>
    <row r="949" ht="21" customHeight="1">
      <c r="A949" s="141"/>
      <c r="B949" s="6"/>
      <c r="C949" s="6"/>
      <c r="D949" s="6"/>
      <c r="E949" s="6"/>
      <c r="F949" s="6"/>
      <c r="G949" s="6"/>
      <c r="H949" s="6"/>
      <c r="I949" s="6"/>
      <c r="J949" s="7"/>
    </row>
    <row r="950" ht="21" customHeight="1">
      <c r="A950" s="141"/>
      <c r="B950" s="6"/>
      <c r="C950" s="6"/>
      <c r="D950" s="6"/>
      <c r="E950" s="6"/>
      <c r="F950" s="6"/>
      <c r="G950" s="6"/>
      <c r="H950" s="6"/>
      <c r="I950" s="6"/>
      <c r="J950" s="7"/>
    </row>
    <row r="951" ht="21" customHeight="1">
      <c r="A951" s="141"/>
      <c r="B951" s="6"/>
      <c r="C951" s="6"/>
      <c r="D951" s="6"/>
      <c r="E951" s="6"/>
      <c r="F951" s="6"/>
      <c r="G951" s="6"/>
      <c r="H951" s="6"/>
      <c r="I951" s="6"/>
      <c r="J951" s="7"/>
    </row>
    <row r="952" ht="21" customHeight="1">
      <c r="A952" s="141"/>
      <c r="B952" s="6"/>
      <c r="C952" s="6"/>
      <c r="D952" s="6"/>
      <c r="E952" s="6"/>
      <c r="F952" s="6"/>
      <c r="G952" s="6"/>
      <c r="H952" s="6"/>
      <c r="I952" s="6"/>
      <c r="J952" s="7"/>
    </row>
    <row r="953" ht="21" customHeight="1">
      <c r="A953" s="141"/>
      <c r="B953" s="6"/>
      <c r="C953" s="6"/>
      <c r="D953" s="6"/>
      <c r="E953" s="6"/>
      <c r="F953" s="6"/>
      <c r="G953" s="6"/>
      <c r="H953" s="6"/>
      <c r="I953" s="6"/>
      <c r="J953" s="7"/>
    </row>
    <row r="954" ht="21" customHeight="1">
      <c r="A954" s="141"/>
      <c r="B954" s="6"/>
      <c r="C954" s="6"/>
      <c r="D954" s="6"/>
      <c r="E954" s="6"/>
      <c r="F954" s="6"/>
      <c r="G954" s="6"/>
      <c r="H954" s="6"/>
      <c r="I954" s="6"/>
      <c r="J954" s="7"/>
    </row>
    <row r="955" ht="21" customHeight="1">
      <c r="A955" s="141"/>
      <c r="B955" s="6"/>
      <c r="C955" s="6"/>
      <c r="D955" s="6"/>
      <c r="E955" s="6"/>
      <c r="F955" s="6"/>
      <c r="G955" s="6"/>
      <c r="H955" s="6"/>
      <c r="I955" s="6"/>
      <c r="J955" s="7"/>
    </row>
    <row r="956" ht="21" customHeight="1">
      <c r="A956" s="141"/>
      <c r="B956" s="6"/>
      <c r="C956" s="6"/>
      <c r="D956" s="6"/>
      <c r="E956" s="6"/>
      <c r="F956" s="6"/>
      <c r="G956" s="6"/>
      <c r="H956" s="6"/>
      <c r="I956" s="6"/>
      <c r="J956" s="7"/>
    </row>
    <row r="957" ht="21" customHeight="1">
      <c r="A957" s="141"/>
      <c r="B957" s="6"/>
      <c r="C957" s="6"/>
      <c r="D957" s="6"/>
      <c r="E957" s="6"/>
      <c r="F957" s="6"/>
      <c r="G957" s="6"/>
      <c r="H957" s="6"/>
      <c r="I957" s="6"/>
      <c r="J957" s="7"/>
    </row>
    <row r="958" ht="21" customHeight="1">
      <c r="A958" s="141"/>
      <c r="B958" s="6"/>
      <c r="C958" s="6"/>
      <c r="D958" s="6"/>
      <c r="E958" s="6"/>
      <c r="F958" s="6"/>
      <c r="G958" s="6"/>
      <c r="H958" s="6"/>
      <c r="I958" s="6"/>
      <c r="J958" s="7"/>
    </row>
    <row r="959" ht="21" customHeight="1">
      <c r="A959" s="141"/>
      <c r="B959" s="6"/>
      <c r="C959" s="6"/>
      <c r="D959" s="6"/>
      <c r="E959" s="6"/>
      <c r="F959" s="6"/>
      <c r="G959" s="6"/>
      <c r="H959" s="6"/>
      <c r="I959" s="6"/>
      <c r="J959" s="7"/>
    </row>
    <row r="960" ht="21" customHeight="1">
      <c r="A960" s="141"/>
      <c r="B960" s="6"/>
      <c r="C960" s="6"/>
      <c r="D960" s="6"/>
      <c r="E960" s="6"/>
      <c r="F960" s="6"/>
      <c r="G960" s="6"/>
      <c r="H960" s="6"/>
      <c r="I960" s="6"/>
      <c r="J960" s="7"/>
    </row>
    <row r="961" ht="21" customHeight="1">
      <c r="A961" s="141"/>
      <c r="B961" s="6"/>
      <c r="C961" s="6"/>
      <c r="D961" s="6"/>
      <c r="E961" s="6"/>
      <c r="F961" s="6"/>
      <c r="G961" s="6"/>
      <c r="H961" s="6"/>
      <c r="I961" s="6"/>
      <c r="J961" s="7"/>
    </row>
    <row r="962" ht="21" customHeight="1">
      <c r="A962" s="141"/>
      <c r="B962" s="6"/>
      <c r="C962" s="6"/>
      <c r="D962" s="6"/>
      <c r="E962" s="6"/>
      <c r="F962" s="6"/>
      <c r="G962" s="6"/>
      <c r="H962" s="6"/>
      <c r="I962" s="6"/>
      <c r="J962" s="7"/>
    </row>
    <row r="963" ht="21" customHeight="1">
      <c r="A963" s="141"/>
      <c r="B963" s="6"/>
      <c r="C963" s="6"/>
      <c r="D963" s="6"/>
      <c r="E963" s="6"/>
      <c r="F963" s="6"/>
      <c r="G963" s="6"/>
      <c r="H963" s="6"/>
      <c r="I963" s="6"/>
      <c r="J963" s="7"/>
    </row>
    <row r="964" ht="21" customHeight="1">
      <c r="A964" s="141"/>
      <c r="B964" s="6"/>
      <c r="C964" s="6"/>
      <c r="D964" s="6"/>
      <c r="E964" s="6"/>
      <c r="F964" s="6"/>
      <c r="G964" s="6"/>
      <c r="H964" s="6"/>
      <c r="I964" s="6"/>
      <c r="J964" s="7"/>
    </row>
    <row r="965" ht="21" customHeight="1">
      <c r="A965" s="141"/>
      <c r="B965" s="6"/>
      <c r="C965" s="6"/>
      <c r="D965" s="6"/>
      <c r="E965" s="6"/>
      <c r="F965" s="6"/>
      <c r="G965" s="6"/>
      <c r="H965" s="6"/>
      <c r="I965" s="6"/>
      <c r="J965" s="7"/>
    </row>
    <row r="966" ht="21" customHeight="1">
      <c r="A966" s="141"/>
      <c r="B966" s="6"/>
      <c r="C966" s="6"/>
      <c r="D966" s="6"/>
      <c r="E966" s="6"/>
      <c r="F966" s="6"/>
      <c r="G966" s="6"/>
      <c r="H966" s="6"/>
      <c r="I966" s="6"/>
      <c r="J966" s="7"/>
    </row>
    <row r="967" ht="21" customHeight="1">
      <c r="A967" s="141"/>
      <c r="B967" s="6"/>
      <c r="C967" s="6"/>
      <c r="D967" s="6"/>
      <c r="E967" s="6"/>
      <c r="F967" s="6"/>
      <c r="G967" s="6"/>
      <c r="H967" s="6"/>
      <c r="I967" s="6"/>
      <c r="J967" s="7"/>
    </row>
    <row r="968" ht="21" customHeight="1">
      <c r="A968" s="141"/>
      <c r="B968" s="6"/>
      <c r="C968" s="6"/>
      <c r="D968" s="6"/>
      <c r="E968" s="6"/>
      <c r="F968" s="6"/>
      <c r="G968" s="6"/>
      <c r="H968" s="6"/>
      <c r="I968" s="6"/>
      <c r="J968" s="7"/>
    </row>
    <row r="969" ht="21" customHeight="1">
      <c r="A969" s="141"/>
      <c r="B969" s="6"/>
      <c r="C969" s="6"/>
      <c r="D969" s="6"/>
      <c r="E969" s="6"/>
      <c r="F969" s="6"/>
      <c r="G969" s="6"/>
      <c r="H969" s="6"/>
      <c r="I969" s="6"/>
      <c r="J969" s="7"/>
    </row>
    <row r="970" ht="21" customHeight="1">
      <c r="A970" s="141"/>
      <c r="B970" s="6"/>
      <c r="C970" s="6"/>
      <c r="D970" s="6"/>
      <c r="E970" s="6"/>
      <c r="F970" s="6"/>
      <c r="G970" s="6"/>
      <c r="H970" s="6"/>
      <c r="I970" s="6"/>
      <c r="J970" s="7"/>
    </row>
    <row r="971" ht="21" customHeight="1">
      <c r="A971" s="141"/>
      <c r="B971" s="6"/>
      <c r="C971" s="6"/>
      <c r="D971" s="6"/>
      <c r="E971" s="6"/>
      <c r="F971" s="6"/>
      <c r="G971" s="6"/>
      <c r="H971" s="6"/>
      <c r="I971" s="6"/>
      <c r="J971" s="7"/>
    </row>
    <row r="972" ht="21" customHeight="1">
      <c r="A972" s="141"/>
      <c r="B972" s="6"/>
      <c r="C972" s="6"/>
      <c r="D972" s="6"/>
      <c r="E972" s="6"/>
      <c r="F972" s="6"/>
      <c r="G972" s="6"/>
      <c r="H972" s="6"/>
      <c r="I972" s="6"/>
      <c r="J972" s="7"/>
    </row>
    <row r="973" ht="21" customHeight="1">
      <c r="A973" s="141"/>
      <c r="B973" s="6"/>
      <c r="C973" s="6"/>
      <c r="D973" s="6"/>
      <c r="E973" s="6"/>
      <c r="F973" s="6"/>
      <c r="G973" s="6"/>
      <c r="H973" s="6"/>
      <c r="I973" s="6"/>
      <c r="J973" s="7"/>
    </row>
    <row r="974" ht="21" customHeight="1">
      <c r="A974" s="141"/>
      <c r="B974" s="6"/>
      <c r="C974" s="6"/>
      <c r="D974" s="6"/>
      <c r="E974" s="6"/>
      <c r="F974" s="6"/>
      <c r="G974" s="6"/>
      <c r="H974" s="6"/>
      <c r="I974" s="6"/>
      <c r="J974" s="7"/>
    </row>
    <row r="975" ht="21" customHeight="1">
      <c r="A975" s="141"/>
      <c r="B975" s="6"/>
      <c r="C975" s="6"/>
      <c r="D975" s="6"/>
      <c r="E975" s="6"/>
      <c r="F975" s="6"/>
      <c r="G975" s="6"/>
      <c r="H975" s="6"/>
      <c r="I975" s="6"/>
      <c r="J975" s="7"/>
    </row>
    <row r="976" ht="21" customHeight="1">
      <c r="A976" s="141"/>
      <c r="B976" s="6"/>
      <c r="C976" s="6"/>
      <c r="D976" s="6"/>
      <c r="E976" s="6"/>
      <c r="F976" s="6"/>
      <c r="G976" s="6"/>
      <c r="H976" s="6"/>
      <c r="I976" s="6"/>
      <c r="J976" s="7"/>
    </row>
    <row r="977" ht="21" customHeight="1">
      <c r="A977" s="141"/>
      <c r="B977" s="6"/>
      <c r="C977" s="6"/>
      <c r="D977" s="6"/>
      <c r="E977" s="6"/>
      <c r="F977" s="6"/>
      <c r="G977" s="6"/>
      <c r="H977" s="6"/>
      <c r="I977" s="6"/>
      <c r="J977" s="7"/>
    </row>
    <row r="978" ht="21" customHeight="1">
      <c r="A978" s="141"/>
      <c r="B978" s="6"/>
      <c r="C978" s="6"/>
      <c r="D978" s="6"/>
      <c r="E978" s="6"/>
      <c r="F978" s="6"/>
      <c r="G978" s="6"/>
      <c r="H978" s="6"/>
      <c r="I978" s="6"/>
      <c r="J978" s="7"/>
    </row>
    <row r="979" ht="21" customHeight="1">
      <c r="A979" s="141"/>
      <c r="B979" s="6"/>
      <c r="C979" s="6"/>
      <c r="D979" s="6"/>
      <c r="E979" s="6"/>
      <c r="F979" s="6"/>
      <c r="G979" s="6"/>
      <c r="H979" s="6"/>
      <c r="I979" s="6"/>
      <c r="J979" s="7"/>
    </row>
    <row r="980" ht="21" customHeight="1">
      <c r="A980" s="141"/>
      <c r="B980" s="6"/>
      <c r="C980" s="6"/>
      <c r="D980" s="6"/>
      <c r="E980" s="6"/>
      <c r="F980" s="6"/>
      <c r="G980" s="6"/>
      <c r="H980" s="6"/>
      <c r="I980" s="6"/>
      <c r="J980" s="7"/>
    </row>
    <row r="981" ht="21" customHeight="1">
      <c r="A981" s="141"/>
      <c r="B981" s="6"/>
      <c r="C981" s="6"/>
      <c r="D981" s="6"/>
      <c r="E981" s="6"/>
      <c r="F981" s="6"/>
      <c r="G981" s="6"/>
      <c r="H981" s="6"/>
      <c r="I981" s="6"/>
      <c r="J981" s="7"/>
    </row>
    <row r="982" ht="21" customHeight="1">
      <c r="A982" s="141"/>
      <c r="B982" s="6"/>
      <c r="C982" s="6"/>
      <c r="D982" s="6"/>
      <c r="E982" s="6"/>
      <c r="F982" s="6"/>
      <c r="G982" s="6"/>
      <c r="H982" s="6"/>
      <c r="I982" s="6"/>
      <c r="J982" s="7"/>
    </row>
    <row r="983" ht="21" customHeight="1">
      <c r="A983" s="141"/>
      <c r="B983" s="6"/>
      <c r="C983" s="6"/>
      <c r="D983" s="6"/>
      <c r="E983" s="6"/>
      <c r="F983" s="6"/>
      <c r="G983" s="6"/>
      <c r="H983" s="6"/>
      <c r="I983" s="6"/>
      <c r="J983" s="7"/>
    </row>
    <row r="984" ht="21" customHeight="1">
      <c r="A984" s="141"/>
      <c r="B984" s="6"/>
      <c r="C984" s="6"/>
      <c r="D984" s="6"/>
      <c r="E984" s="6"/>
      <c r="F984" s="6"/>
      <c r="G984" s="6"/>
      <c r="H984" s="6"/>
      <c r="I984" s="6"/>
      <c r="J984" s="7"/>
    </row>
    <row r="985" ht="21" customHeight="1">
      <c r="A985" s="141"/>
      <c r="B985" s="6"/>
      <c r="C985" s="6"/>
      <c r="D985" s="6"/>
      <c r="E985" s="6"/>
      <c r="F985" s="6"/>
      <c r="G985" s="6"/>
      <c r="H985" s="6"/>
      <c r="I985" s="6"/>
      <c r="J985" s="7"/>
    </row>
    <row r="986" ht="21" customHeight="1">
      <c r="A986" s="141"/>
      <c r="B986" s="6"/>
      <c r="C986" s="6"/>
      <c r="D986" s="6"/>
      <c r="E986" s="6"/>
      <c r="F986" s="6"/>
      <c r="G986" s="6"/>
      <c r="H986" s="6"/>
      <c r="I986" s="6"/>
      <c r="J986" s="7"/>
    </row>
    <row r="987" ht="21" customHeight="1">
      <c r="A987" s="141"/>
      <c r="B987" s="6"/>
      <c r="C987" s="6"/>
      <c r="D987" s="6"/>
      <c r="E987" s="6"/>
      <c r="F987" s="6"/>
      <c r="G987" s="6"/>
      <c r="H987" s="6"/>
      <c r="I987" s="6"/>
      <c r="J987" s="7"/>
    </row>
    <row r="988" ht="21" customHeight="1">
      <c r="A988" s="141"/>
      <c r="B988" s="6"/>
      <c r="C988" s="6"/>
      <c r="D988" s="6"/>
      <c r="E988" s="6"/>
      <c r="F988" s="6"/>
      <c r="G988" s="6"/>
      <c r="H988" s="6"/>
      <c r="I988" s="6"/>
      <c r="J988" s="7"/>
    </row>
    <row r="989" ht="21" customHeight="1">
      <c r="A989" s="141"/>
      <c r="B989" s="6"/>
      <c r="C989" s="6"/>
      <c r="D989" s="6"/>
      <c r="E989" s="6"/>
      <c r="F989" s="6"/>
      <c r="G989" s="6"/>
      <c r="H989" s="6"/>
      <c r="I989" s="6"/>
      <c r="J989" s="7"/>
    </row>
    <row r="990" ht="21" customHeight="1">
      <c r="A990" s="141"/>
      <c r="B990" s="6"/>
      <c r="C990" s="6"/>
      <c r="D990" s="6"/>
      <c r="E990" s="6"/>
      <c r="F990" s="6"/>
      <c r="G990" s="6"/>
      <c r="H990" s="6"/>
      <c r="I990" s="6"/>
      <c r="J990" s="7"/>
    </row>
    <row r="991" ht="21" customHeight="1">
      <c r="A991" s="141"/>
      <c r="B991" s="6"/>
      <c r="C991" s="6"/>
      <c r="D991" s="6"/>
      <c r="E991" s="6"/>
      <c r="F991" s="6"/>
      <c r="G991" s="6"/>
      <c r="H991" s="6"/>
      <c r="I991" s="6"/>
      <c r="J991" s="7"/>
    </row>
    <row r="992" ht="21" customHeight="1">
      <c r="A992" s="141"/>
      <c r="B992" s="6"/>
      <c r="C992" s="6"/>
      <c r="D992" s="6"/>
      <c r="E992" s="6"/>
      <c r="F992" s="6"/>
      <c r="G992" s="6"/>
      <c r="H992" s="6"/>
      <c r="I992" s="6"/>
      <c r="J992" s="7"/>
    </row>
    <row r="993" ht="21" customHeight="1">
      <c r="A993" s="141"/>
      <c r="B993" s="6"/>
      <c r="C993" s="6"/>
      <c r="D993" s="6"/>
      <c r="E993" s="6"/>
      <c r="F993" s="6"/>
      <c r="G993" s="6"/>
      <c r="H993" s="6"/>
      <c r="I993" s="6"/>
      <c r="J993" s="7"/>
    </row>
    <row r="994" ht="21" customHeight="1">
      <c r="A994" s="141"/>
      <c r="B994" s="6"/>
      <c r="C994" s="6"/>
      <c r="D994" s="6"/>
      <c r="E994" s="6"/>
      <c r="F994" s="6"/>
      <c r="G994" s="6"/>
      <c r="H994" s="6"/>
      <c r="I994" s="6"/>
      <c r="J994" s="7"/>
    </row>
    <row r="995" ht="21" customHeight="1">
      <c r="A995" s="141"/>
      <c r="B995" s="6"/>
      <c r="C995" s="6"/>
      <c r="D995" s="6"/>
      <c r="E995" s="6"/>
      <c r="F995" s="6"/>
      <c r="G995" s="6"/>
      <c r="H995" s="6"/>
      <c r="I995" s="6"/>
      <c r="J995" s="7"/>
    </row>
    <row r="996" ht="21" customHeight="1">
      <c r="A996" s="141"/>
      <c r="B996" s="6"/>
      <c r="C996" s="6"/>
      <c r="D996" s="6"/>
      <c r="E996" s="6"/>
      <c r="F996" s="6"/>
      <c r="G996" s="6"/>
      <c r="H996" s="6"/>
      <c r="I996" s="6"/>
      <c r="J996" s="7"/>
    </row>
    <row r="997" ht="21" customHeight="1">
      <c r="A997" s="141"/>
      <c r="B997" s="6"/>
      <c r="C997" s="6"/>
      <c r="D997" s="6"/>
      <c r="E997" s="6"/>
      <c r="F997" s="6"/>
      <c r="G997" s="6"/>
      <c r="H997" s="6"/>
      <c r="I997" s="6"/>
      <c r="J997" s="7"/>
    </row>
    <row r="998" ht="21" customHeight="1">
      <c r="A998" s="141"/>
      <c r="B998" s="6"/>
      <c r="C998" s="6"/>
      <c r="D998" s="6"/>
      <c r="E998" s="6"/>
      <c r="F998" s="6"/>
      <c r="G998" s="6"/>
      <c r="H998" s="6"/>
      <c r="I998" s="6"/>
      <c r="J998" s="7"/>
    </row>
    <row r="999" ht="21" customHeight="1">
      <c r="A999" s="141"/>
      <c r="B999" s="6"/>
      <c r="C999" s="6"/>
      <c r="D999" s="6"/>
      <c r="E999" s="6"/>
      <c r="F999" s="6"/>
      <c r="G999" s="6"/>
      <c r="H999" s="6"/>
      <c r="I999" s="6"/>
      <c r="J999" s="7"/>
    </row>
    <row r="1000" ht="21" customHeight="1">
      <c r="A1000" s="141"/>
      <c r="B1000" s="6"/>
      <c r="C1000" s="6"/>
      <c r="D1000" s="6"/>
      <c r="E1000" s="6"/>
      <c r="F1000" s="6"/>
      <c r="G1000" s="6"/>
      <c r="H1000" s="6"/>
      <c r="I1000" s="6"/>
      <c r="J1000" s="7"/>
    </row>
    <row r="1001" ht="21" customHeight="1">
      <c r="A1001" s="141"/>
      <c r="B1001" s="6"/>
      <c r="C1001" s="6"/>
      <c r="D1001" s="6"/>
      <c r="E1001" s="6"/>
      <c r="F1001" s="6"/>
      <c r="G1001" s="6"/>
      <c r="H1001" s="6"/>
      <c r="I1001" s="6"/>
      <c r="J1001" s="7"/>
    </row>
    <row r="1002" ht="21" customHeight="1">
      <c r="A1002" s="141"/>
      <c r="B1002" s="6"/>
      <c r="C1002" s="6"/>
      <c r="D1002" s="6"/>
      <c r="E1002" s="6"/>
      <c r="F1002" s="6"/>
      <c r="G1002" s="6"/>
      <c r="H1002" s="6"/>
      <c r="I1002" s="6"/>
      <c r="J1002" s="7"/>
    </row>
    <row r="1003" ht="21" customHeight="1">
      <c r="A1003" s="141"/>
      <c r="B1003" s="6"/>
      <c r="C1003" s="6"/>
      <c r="D1003" s="6"/>
      <c r="E1003" s="6"/>
      <c r="F1003" s="6"/>
      <c r="G1003" s="6"/>
      <c r="H1003" s="6"/>
      <c r="I1003" s="6"/>
      <c r="J1003" s="7"/>
    </row>
    <row r="1004" ht="21" customHeight="1">
      <c r="A1004" s="141"/>
      <c r="B1004" s="6"/>
      <c r="C1004" s="6"/>
      <c r="D1004" s="6"/>
      <c r="E1004" s="6"/>
      <c r="F1004" s="6"/>
      <c r="G1004" s="6"/>
      <c r="H1004" s="6"/>
      <c r="I1004" s="6"/>
      <c r="J1004" s="7"/>
    </row>
    <row r="1005" ht="21" customHeight="1">
      <c r="A1005" s="141"/>
      <c r="B1005" s="6"/>
      <c r="C1005" s="6"/>
      <c r="D1005" s="6"/>
      <c r="E1005" s="6"/>
      <c r="F1005" s="6"/>
      <c r="G1005" s="6"/>
      <c r="H1005" s="6"/>
      <c r="I1005" s="6"/>
      <c r="J1005" s="7"/>
    </row>
    <row r="1006" ht="21" customHeight="1">
      <c r="A1006" s="141"/>
      <c r="B1006" s="6"/>
      <c r="C1006" s="6"/>
      <c r="D1006" s="6"/>
      <c r="E1006" s="6"/>
      <c r="F1006" s="6"/>
      <c r="G1006" s="6"/>
      <c r="H1006" s="6"/>
      <c r="I1006" s="6"/>
      <c r="J1006" s="7"/>
    </row>
    <row r="1007" ht="21" customHeight="1">
      <c r="A1007" s="141"/>
      <c r="B1007" s="6"/>
      <c r="C1007" s="6"/>
      <c r="D1007" s="6"/>
      <c r="E1007" s="6"/>
      <c r="F1007" s="6"/>
      <c r="G1007" s="6"/>
      <c r="H1007" s="6"/>
      <c r="I1007" s="6"/>
      <c r="J1007" s="7"/>
    </row>
    <row r="1008" ht="21" customHeight="1">
      <c r="A1008" s="141"/>
      <c r="B1008" s="6"/>
      <c r="C1008" s="6"/>
      <c r="D1008" s="6"/>
      <c r="E1008" s="6"/>
      <c r="F1008" s="6"/>
      <c r="G1008" s="6"/>
      <c r="H1008" s="6"/>
      <c r="I1008" s="6"/>
      <c r="J1008" s="7"/>
    </row>
    <row r="1009" ht="21" customHeight="1">
      <c r="A1009" s="141"/>
      <c r="B1009" s="6"/>
      <c r="C1009" s="6"/>
      <c r="D1009" s="6"/>
      <c r="E1009" s="6"/>
      <c r="F1009" s="6"/>
      <c r="G1009" s="6"/>
      <c r="H1009" s="6"/>
      <c r="I1009" s="6"/>
      <c r="J1009" s="7"/>
    </row>
    <row r="1010" ht="21" customHeight="1">
      <c r="A1010" s="141"/>
      <c r="B1010" s="6"/>
      <c r="C1010" s="6"/>
      <c r="D1010" s="6"/>
      <c r="E1010" s="6"/>
      <c r="F1010" s="6"/>
      <c r="G1010" s="6"/>
      <c r="H1010" s="6"/>
      <c r="I1010" s="6"/>
      <c r="J1010" s="7"/>
    </row>
    <row r="1011" ht="21" customHeight="1">
      <c r="A1011" s="141"/>
      <c r="B1011" s="6"/>
      <c r="C1011" s="6"/>
      <c r="D1011" s="6"/>
      <c r="E1011" s="6"/>
      <c r="F1011" s="6"/>
      <c r="G1011" s="6"/>
      <c r="H1011" s="6"/>
      <c r="I1011" s="6"/>
      <c r="J1011" s="7"/>
    </row>
    <row r="1012" ht="21" customHeight="1">
      <c r="A1012" s="141"/>
      <c r="B1012" s="6"/>
      <c r="C1012" s="6"/>
      <c r="D1012" s="6"/>
      <c r="E1012" s="6"/>
      <c r="F1012" s="6"/>
      <c r="G1012" s="6"/>
      <c r="H1012" s="6"/>
      <c r="I1012" s="6"/>
      <c r="J1012" s="7"/>
    </row>
    <row r="1013" ht="21" customHeight="1">
      <c r="A1013" s="141"/>
      <c r="B1013" s="6"/>
      <c r="C1013" s="6"/>
      <c r="D1013" s="6"/>
      <c r="E1013" s="6"/>
      <c r="F1013" s="6"/>
      <c r="G1013" s="6"/>
      <c r="H1013" s="6"/>
      <c r="I1013" s="6"/>
      <c r="J1013" s="7"/>
    </row>
    <row r="1014" ht="21" customHeight="1">
      <c r="A1014" s="141"/>
      <c r="B1014" s="6"/>
      <c r="C1014" s="6"/>
      <c r="D1014" s="6"/>
      <c r="E1014" s="6"/>
      <c r="F1014" s="6"/>
      <c r="G1014" s="6"/>
      <c r="H1014" s="6"/>
      <c r="I1014" s="6"/>
      <c r="J1014" s="7"/>
    </row>
    <row r="1015" ht="16" customHeight="1">
      <c r="A1015" s="5"/>
      <c r="B1015" s="6"/>
      <c r="C1015" s="6"/>
      <c r="D1015" s="6"/>
      <c r="E1015" s="6"/>
      <c r="F1015" s="6"/>
      <c r="G1015" s="6"/>
      <c r="H1015" s="6"/>
      <c r="I1015" s="6"/>
      <c r="J1015" s="7"/>
    </row>
    <row r="1016" ht="16" customHeight="1">
      <c r="A1016" s="5"/>
      <c r="B1016" s="6"/>
      <c r="C1016" s="6"/>
      <c r="D1016" s="6"/>
      <c r="E1016" s="6"/>
      <c r="F1016" s="6"/>
      <c r="G1016" s="6"/>
      <c r="H1016" s="6"/>
      <c r="I1016" s="6"/>
      <c r="J1016" s="7"/>
    </row>
    <row r="1017" ht="16" customHeight="1">
      <c r="A1017" s="5"/>
      <c r="B1017" s="6"/>
      <c r="C1017" s="6"/>
      <c r="D1017" s="6"/>
      <c r="E1017" s="6"/>
      <c r="F1017" s="6"/>
      <c r="G1017" s="6"/>
      <c r="H1017" s="6"/>
      <c r="I1017" s="6"/>
      <c r="J1017" s="7"/>
    </row>
    <row r="1018" ht="16" customHeight="1">
      <c r="A1018" s="5"/>
      <c r="B1018" s="6"/>
      <c r="C1018" s="6"/>
      <c r="D1018" s="6"/>
      <c r="E1018" s="6"/>
      <c r="F1018" s="6"/>
      <c r="G1018" s="6"/>
      <c r="H1018" s="6"/>
      <c r="I1018" s="6"/>
      <c r="J1018" s="7"/>
    </row>
    <row r="1019" ht="16" customHeight="1">
      <c r="A1019" s="5"/>
      <c r="B1019" s="6"/>
      <c r="C1019" s="6"/>
      <c r="D1019" s="6"/>
      <c r="E1019" s="6"/>
      <c r="F1019" s="6"/>
      <c r="G1019" s="6"/>
      <c r="H1019" s="6"/>
      <c r="I1019" s="6"/>
      <c r="J1019" s="7"/>
    </row>
    <row r="1020" ht="16" customHeight="1">
      <c r="A1020" s="5"/>
      <c r="B1020" s="6"/>
      <c r="C1020" s="6"/>
      <c r="D1020" s="6"/>
      <c r="E1020" s="6"/>
      <c r="F1020" s="6"/>
      <c r="G1020" s="6"/>
      <c r="H1020" s="6"/>
      <c r="I1020" s="6"/>
      <c r="J1020" s="7"/>
    </row>
    <row r="1021" ht="16" customHeight="1">
      <c r="A1021" s="5"/>
      <c r="B1021" s="6"/>
      <c r="C1021" s="6"/>
      <c r="D1021" s="6"/>
      <c r="E1021" s="6"/>
      <c r="F1021" s="6"/>
      <c r="G1021" s="6"/>
      <c r="H1021" s="6"/>
      <c r="I1021" s="6"/>
      <c r="J1021" s="7"/>
    </row>
    <row r="1022" ht="16" customHeight="1">
      <c r="A1022" s="5"/>
      <c r="B1022" s="6"/>
      <c r="C1022" s="6"/>
      <c r="D1022" s="6"/>
      <c r="E1022" s="6"/>
      <c r="F1022" s="6"/>
      <c r="G1022" s="6"/>
      <c r="H1022" s="6"/>
      <c r="I1022" s="6"/>
      <c r="J1022" s="7"/>
    </row>
    <row r="1023" ht="16" customHeight="1">
      <c r="A1023" s="5"/>
      <c r="B1023" s="6"/>
      <c r="C1023" s="6"/>
      <c r="D1023" s="6"/>
      <c r="E1023" s="6"/>
      <c r="F1023" s="6"/>
      <c r="G1023" s="6"/>
      <c r="H1023" s="6"/>
      <c r="I1023" s="6"/>
      <c r="J1023" s="7"/>
    </row>
    <row r="1024" ht="16" customHeight="1">
      <c r="A1024" s="5"/>
      <c r="B1024" s="6"/>
      <c r="C1024" s="6"/>
      <c r="D1024" s="6"/>
      <c r="E1024" s="6"/>
      <c r="F1024" s="6"/>
      <c r="G1024" s="6"/>
      <c r="H1024" s="6"/>
      <c r="I1024" s="6"/>
      <c r="J1024" s="7"/>
    </row>
    <row r="1025" ht="16" customHeight="1">
      <c r="A1025" s="5"/>
      <c r="B1025" s="6"/>
      <c r="C1025" s="6"/>
      <c r="D1025" s="6"/>
      <c r="E1025" s="6"/>
      <c r="F1025" s="6"/>
      <c r="G1025" s="6"/>
      <c r="H1025" s="6"/>
      <c r="I1025" s="6"/>
      <c r="J1025" s="7"/>
    </row>
    <row r="1026" ht="16" customHeight="1">
      <c r="A1026" s="5"/>
      <c r="B1026" s="6"/>
      <c r="C1026" s="6"/>
      <c r="D1026" s="6"/>
      <c r="E1026" s="6"/>
      <c r="F1026" s="6"/>
      <c r="G1026" s="6"/>
      <c r="H1026" s="6"/>
      <c r="I1026" s="6"/>
      <c r="J1026" s="7"/>
    </row>
    <row r="1027" ht="16" customHeight="1">
      <c r="A1027" s="5"/>
      <c r="B1027" s="6"/>
      <c r="C1027" s="6"/>
      <c r="D1027" s="6"/>
      <c r="E1027" s="6"/>
      <c r="F1027" s="6"/>
      <c r="G1027" s="6"/>
      <c r="H1027" s="6"/>
      <c r="I1027" s="6"/>
      <c r="J1027" s="7"/>
    </row>
    <row r="1028" ht="16" customHeight="1">
      <c r="A1028" s="5"/>
      <c r="B1028" s="6"/>
      <c r="C1028" s="6"/>
      <c r="D1028" s="6"/>
      <c r="E1028" s="6"/>
      <c r="F1028" s="6"/>
      <c r="G1028" s="6"/>
      <c r="H1028" s="6"/>
      <c r="I1028" s="6"/>
      <c r="J1028" s="7"/>
    </row>
    <row r="1029" ht="16" customHeight="1">
      <c r="A1029" s="5"/>
      <c r="B1029" s="6"/>
      <c r="C1029" s="6"/>
      <c r="D1029" s="6"/>
      <c r="E1029" s="6"/>
      <c r="F1029" s="6"/>
      <c r="G1029" s="6"/>
      <c r="H1029" s="6"/>
      <c r="I1029" s="6"/>
      <c r="J1029" s="7"/>
    </row>
    <row r="1030" ht="16" customHeight="1">
      <c r="A1030" s="5"/>
      <c r="B1030" s="6"/>
      <c r="C1030" s="6"/>
      <c r="D1030" s="6"/>
      <c r="E1030" s="6"/>
      <c r="F1030" s="6"/>
      <c r="G1030" s="6"/>
      <c r="H1030" s="6"/>
      <c r="I1030" s="6"/>
      <c r="J1030" s="7"/>
    </row>
    <row r="1031" ht="16" customHeight="1">
      <c r="A1031" s="5"/>
      <c r="B1031" s="6"/>
      <c r="C1031" s="6"/>
      <c r="D1031" s="6"/>
      <c r="E1031" s="6"/>
      <c r="F1031" s="6"/>
      <c r="G1031" s="6"/>
      <c r="H1031" s="6"/>
      <c r="I1031" s="6"/>
      <c r="J1031" s="7"/>
    </row>
    <row r="1032" ht="16" customHeight="1">
      <c r="A1032" s="5"/>
      <c r="B1032" s="6"/>
      <c r="C1032" s="6"/>
      <c r="D1032" s="6"/>
      <c r="E1032" s="6"/>
      <c r="F1032" s="6"/>
      <c r="G1032" s="6"/>
      <c r="H1032" s="6"/>
      <c r="I1032" s="6"/>
      <c r="J1032" s="7"/>
    </row>
    <row r="1033" ht="16" customHeight="1">
      <c r="A1033" s="5"/>
      <c r="B1033" s="6"/>
      <c r="C1033" s="6"/>
      <c r="D1033" s="6"/>
      <c r="E1033" s="6"/>
      <c r="F1033" s="6"/>
      <c r="G1033" s="6"/>
      <c r="H1033" s="6"/>
      <c r="I1033" s="6"/>
      <c r="J1033" s="7"/>
    </row>
    <row r="1034" ht="16" customHeight="1">
      <c r="A1034" s="5"/>
      <c r="B1034" s="6"/>
      <c r="C1034" s="6"/>
      <c r="D1034" s="6"/>
      <c r="E1034" s="6"/>
      <c r="F1034" s="6"/>
      <c r="G1034" s="6"/>
      <c r="H1034" s="6"/>
      <c r="I1034" s="6"/>
      <c r="J1034" s="7"/>
    </row>
    <row r="1035" ht="16" customHeight="1">
      <c r="A1035" s="5"/>
      <c r="B1035" s="6"/>
      <c r="C1035" s="6"/>
      <c r="D1035" s="6"/>
      <c r="E1035" s="6"/>
      <c r="F1035" s="6"/>
      <c r="G1035" s="6"/>
      <c r="H1035" s="6"/>
      <c r="I1035" s="6"/>
      <c r="J1035" s="7"/>
    </row>
    <row r="1036" ht="16" customHeight="1">
      <c r="A1036" s="5"/>
      <c r="B1036" s="6"/>
      <c r="C1036" s="6"/>
      <c r="D1036" s="6"/>
      <c r="E1036" s="6"/>
      <c r="F1036" s="6"/>
      <c r="G1036" s="6"/>
      <c r="H1036" s="6"/>
      <c r="I1036" s="6"/>
      <c r="J1036" s="7"/>
    </row>
    <row r="1037" ht="16" customHeight="1">
      <c r="A1037" s="5"/>
      <c r="B1037" s="6"/>
      <c r="C1037" s="6"/>
      <c r="D1037" s="6"/>
      <c r="E1037" s="6"/>
      <c r="F1037" s="6"/>
      <c r="G1037" s="6"/>
      <c r="H1037" s="6"/>
      <c r="I1037" s="6"/>
      <c r="J1037" s="7"/>
    </row>
    <row r="1038" ht="16" customHeight="1">
      <c r="A1038" s="5"/>
      <c r="B1038" s="6"/>
      <c r="C1038" s="6"/>
      <c r="D1038" s="6"/>
      <c r="E1038" s="6"/>
      <c r="F1038" s="6"/>
      <c r="G1038" s="6"/>
      <c r="H1038" s="6"/>
      <c r="I1038" s="6"/>
      <c r="J1038" s="7"/>
    </row>
    <row r="1039" ht="16" customHeight="1">
      <c r="A1039" s="5"/>
      <c r="B1039" s="6"/>
      <c r="C1039" s="6"/>
      <c r="D1039" s="6"/>
      <c r="E1039" s="6"/>
      <c r="F1039" s="6"/>
      <c r="G1039" s="6"/>
      <c r="H1039" s="6"/>
      <c r="I1039" s="6"/>
      <c r="J1039" s="7"/>
    </row>
    <row r="1040" ht="16" customHeight="1">
      <c r="A1040" s="5"/>
      <c r="B1040" s="6"/>
      <c r="C1040" s="6"/>
      <c r="D1040" s="6"/>
      <c r="E1040" s="6"/>
      <c r="F1040" s="6"/>
      <c r="G1040" s="6"/>
      <c r="H1040" s="6"/>
      <c r="I1040" s="6"/>
      <c r="J1040" s="7"/>
    </row>
    <row r="1041" ht="16" customHeight="1">
      <c r="A1041" s="5"/>
      <c r="B1041" s="6"/>
      <c r="C1041" s="6"/>
      <c r="D1041" s="6"/>
      <c r="E1041" s="6"/>
      <c r="F1041" s="6"/>
      <c r="G1041" s="6"/>
      <c r="H1041" s="6"/>
      <c r="I1041" s="6"/>
      <c r="J1041" s="7"/>
    </row>
    <row r="1042" ht="16" customHeight="1">
      <c r="A1042" s="5"/>
      <c r="B1042" s="6"/>
      <c r="C1042" s="6"/>
      <c r="D1042" s="6"/>
      <c r="E1042" s="6"/>
      <c r="F1042" s="6"/>
      <c r="G1042" s="6"/>
      <c r="H1042" s="6"/>
      <c r="I1042" s="6"/>
      <c r="J1042" s="7"/>
    </row>
    <row r="1043" ht="16" customHeight="1">
      <c r="A1043" s="5"/>
      <c r="B1043" s="6"/>
      <c r="C1043" s="6"/>
      <c r="D1043" s="6"/>
      <c r="E1043" s="6"/>
      <c r="F1043" s="6"/>
      <c r="G1043" s="6"/>
      <c r="H1043" s="6"/>
      <c r="I1043" s="6"/>
      <c r="J1043" s="7"/>
    </row>
    <row r="1044" ht="16" customHeight="1">
      <c r="A1044" s="5"/>
      <c r="B1044" s="6"/>
      <c r="C1044" s="6"/>
      <c r="D1044" s="6"/>
      <c r="E1044" s="6"/>
      <c r="F1044" s="6"/>
      <c r="G1044" s="6"/>
      <c r="H1044" s="6"/>
      <c r="I1044" s="6"/>
      <c r="J1044" s="7"/>
    </row>
    <row r="1045" ht="16" customHeight="1">
      <c r="A1045" s="5"/>
      <c r="B1045" s="6"/>
      <c r="C1045" s="6"/>
      <c r="D1045" s="6"/>
      <c r="E1045" s="6"/>
      <c r="F1045" s="6"/>
      <c r="G1045" s="6"/>
      <c r="H1045" s="6"/>
      <c r="I1045" s="6"/>
      <c r="J1045" s="7"/>
    </row>
    <row r="1046" ht="16" customHeight="1">
      <c r="A1046" s="5"/>
      <c r="B1046" s="6"/>
      <c r="C1046" s="6"/>
      <c r="D1046" s="6"/>
      <c r="E1046" s="6"/>
      <c r="F1046" s="6"/>
      <c r="G1046" s="6"/>
      <c r="H1046" s="6"/>
      <c r="I1046" s="6"/>
      <c r="J1046" s="7"/>
    </row>
    <row r="1047" ht="16" customHeight="1">
      <c r="A1047" s="5"/>
      <c r="B1047" s="6"/>
      <c r="C1047" s="6"/>
      <c r="D1047" s="6"/>
      <c r="E1047" s="6"/>
      <c r="F1047" s="6"/>
      <c r="G1047" s="6"/>
      <c r="H1047" s="6"/>
      <c r="I1047" s="6"/>
      <c r="J1047" s="7"/>
    </row>
    <row r="1048" ht="16" customHeight="1">
      <c r="A1048" s="5"/>
      <c r="B1048" s="6"/>
      <c r="C1048" s="6"/>
      <c r="D1048" s="6"/>
      <c r="E1048" s="6"/>
      <c r="F1048" s="6"/>
      <c r="G1048" s="6"/>
      <c r="H1048" s="6"/>
      <c r="I1048" s="6"/>
      <c r="J1048" s="7"/>
    </row>
    <row r="1049" ht="16" customHeight="1">
      <c r="A1049" s="5"/>
      <c r="B1049" s="6"/>
      <c r="C1049" s="6"/>
      <c r="D1049" s="6"/>
      <c r="E1049" s="6"/>
      <c r="F1049" s="6"/>
      <c r="G1049" s="6"/>
      <c r="H1049" s="6"/>
      <c r="I1049" s="6"/>
      <c r="J1049" s="7"/>
    </row>
    <row r="1050" ht="16" customHeight="1">
      <c r="A1050" s="5"/>
      <c r="B1050" s="6"/>
      <c r="C1050" s="6"/>
      <c r="D1050" s="6"/>
      <c r="E1050" s="6"/>
      <c r="F1050" s="6"/>
      <c r="G1050" s="6"/>
      <c r="H1050" s="6"/>
      <c r="I1050" s="6"/>
      <c r="J1050" s="7"/>
    </row>
    <row r="1051" ht="16" customHeight="1">
      <c r="A1051" s="5"/>
      <c r="B1051" s="6"/>
      <c r="C1051" s="6"/>
      <c r="D1051" s="6"/>
      <c r="E1051" s="6"/>
      <c r="F1051" s="6"/>
      <c r="G1051" s="6"/>
      <c r="H1051" s="6"/>
      <c r="I1051" s="6"/>
      <c r="J1051" s="7"/>
    </row>
    <row r="1052" ht="16" customHeight="1">
      <c r="A1052" s="5"/>
      <c r="B1052" s="6"/>
      <c r="C1052" s="6"/>
      <c r="D1052" s="6"/>
      <c r="E1052" s="6"/>
      <c r="F1052" s="6"/>
      <c r="G1052" s="6"/>
      <c r="H1052" s="6"/>
      <c r="I1052" s="6"/>
      <c r="J1052" s="7"/>
    </row>
    <row r="1053" ht="16" customHeight="1">
      <c r="A1053" s="5"/>
      <c r="B1053" s="6"/>
      <c r="C1053" s="6"/>
      <c r="D1053" s="6"/>
      <c r="E1053" s="6"/>
      <c r="F1053" s="6"/>
      <c r="G1053" s="6"/>
      <c r="H1053" s="6"/>
      <c r="I1053" s="6"/>
      <c r="J1053" s="7"/>
    </row>
    <row r="1054" ht="16" customHeight="1">
      <c r="A1054" s="5"/>
      <c r="B1054" s="6"/>
      <c r="C1054" s="6"/>
      <c r="D1054" s="6"/>
      <c r="E1054" s="6"/>
      <c r="F1054" s="6"/>
      <c r="G1054" s="6"/>
      <c r="H1054" s="6"/>
      <c r="I1054" s="6"/>
      <c r="J1054" s="7"/>
    </row>
    <row r="1055" ht="16" customHeight="1">
      <c r="A1055" s="5"/>
      <c r="B1055" s="6"/>
      <c r="C1055" s="6"/>
      <c r="D1055" s="6"/>
      <c r="E1055" s="6"/>
      <c r="F1055" s="6"/>
      <c r="G1055" s="6"/>
      <c r="H1055" s="6"/>
      <c r="I1055" s="6"/>
      <c r="J1055" s="7"/>
    </row>
    <row r="1056" ht="16" customHeight="1">
      <c r="A1056" s="5"/>
      <c r="B1056" s="6"/>
      <c r="C1056" s="6"/>
      <c r="D1056" s="6"/>
      <c r="E1056" s="6"/>
      <c r="F1056" s="6"/>
      <c r="G1056" s="6"/>
      <c r="H1056" s="6"/>
      <c r="I1056" s="6"/>
      <c r="J1056" s="7"/>
    </row>
    <row r="1057" ht="16" customHeight="1">
      <c r="A1057" s="5"/>
      <c r="B1057" s="6"/>
      <c r="C1057" s="6"/>
      <c r="D1057" s="6"/>
      <c r="E1057" s="6"/>
      <c r="F1057" s="6"/>
      <c r="G1057" s="6"/>
      <c r="H1057" s="6"/>
      <c r="I1057" s="6"/>
      <c r="J1057" s="7"/>
    </row>
    <row r="1058" ht="16" customHeight="1">
      <c r="A1058" s="5"/>
      <c r="B1058" s="6"/>
      <c r="C1058" s="6"/>
      <c r="D1058" s="6"/>
      <c r="E1058" s="6"/>
      <c r="F1058" s="6"/>
      <c r="G1058" s="6"/>
      <c r="H1058" s="6"/>
      <c r="I1058" s="6"/>
      <c r="J1058" s="7"/>
    </row>
    <row r="1059" ht="16" customHeight="1">
      <c r="A1059" s="5"/>
      <c r="B1059" s="6"/>
      <c r="C1059" s="6"/>
      <c r="D1059" s="6"/>
      <c r="E1059" s="6"/>
      <c r="F1059" s="6"/>
      <c r="G1059" s="6"/>
      <c r="H1059" s="6"/>
      <c r="I1059" s="6"/>
      <c r="J1059" s="7"/>
    </row>
    <row r="1060" ht="16" customHeight="1">
      <c r="A1060" s="5"/>
      <c r="B1060" s="6"/>
      <c r="C1060" s="6"/>
      <c r="D1060" s="6"/>
      <c r="E1060" s="6"/>
      <c r="F1060" s="6"/>
      <c r="G1060" s="6"/>
      <c r="H1060" s="6"/>
      <c r="I1060" s="6"/>
      <c r="J1060" s="7"/>
    </row>
    <row r="1061" ht="16" customHeight="1">
      <c r="A1061" s="5"/>
      <c r="B1061" s="6"/>
      <c r="C1061" s="6"/>
      <c r="D1061" s="6"/>
      <c r="E1061" s="6"/>
      <c r="F1061" s="6"/>
      <c r="G1061" s="6"/>
      <c r="H1061" s="6"/>
      <c r="I1061" s="6"/>
      <c r="J1061" s="7"/>
    </row>
    <row r="1062" ht="16" customHeight="1">
      <c r="A1062" s="5"/>
      <c r="B1062" s="6"/>
      <c r="C1062" s="6"/>
      <c r="D1062" s="6"/>
      <c r="E1062" s="6"/>
      <c r="F1062" s="6"/>
      <c r="G1062" s="6"/>
      <c r="H1062" s="6"/>
      <c r="I1062" s="6"/>
      <c r="J1062" s="7"/>
    </row>
    <row r="1063" ht="16" customHeight="1">
      <c r="A1063" s="5"/>
      <c r="B1063" s="6"/>
      <c r="C1063" s="6"/>
      <c r="D1063" s="6"/>
      <c r="E1063" s="6"/>
      <c r="F1063" s="6"/>
      <c r="G1063" s="6"/>
      <c r="H1063" s="6"/>
      <c r="I1063" s="6"/>
      <c r="J1063" s="7"/>
    </row>
    <row r="1064" ht="16" customHeight="1">
      <c r="A1064" s="5"/>
      <c r="B1064" s="6"/>
      <c r="C1064" s="6"/>
      <c r="D1064" s="6"/>
      <c r="E1064" s="6"/>
      <c r="F1064" s="6"/>
      <c r="G1064" s="6"/>
      <c r="H1064" s="6"/>
      <c r="I1064" s="6"/>
      <c r="J1064" s="7"/>
    </row>
    <row r="1065" ht="16" customHeight="1">
      <c r="A1065" s="5"/>
      <c r="B1065" s="6"/>
      <c r="C1065" s="6"/>
      <c r="D1065" s="6"/>
      <c r="E1065" s="6"/>
      <c r="F1065" s="6"/>
      <c r="G1065" s="6"/>
      <c r="H1065" s="6"/>
      <c r="I1065" s="6"/>
      <c r="J1065" s="7"/>
    </row>
    <row r="1066" ht="16" customHeight="1">
      <c r="A1066" s="5"/>
      <c r="B1066" s="6"/>
      <c r="C1066" s="6"/>
      <c r="D1066" s="6"/>
      <c r="E1066" s="6"/>
      <c r="F1066" s="6"/>
      <c r="G1066" s="6"/>
      <c r="H1066" s="6"/>
      <c r="I1066" s="6"/>
      <c r="J1066" s="7"/>
    </row>
    <row r="1067" ht="16" customHeight="1">
      <c r="A1067" s="5"/>
      <c r="B1067" s="6"/>
      <c r="C1067" s="6"/>
      <c r="D1067" s="6"/>
      <c r="E1067" s="6"/>
      <c r="F1067" s="6"/>
      <c r="G1067" s="6"/>
      <c r="H1067" s="6"/>
      <c r="I1067" s="6"/>
      <c r="J1067" s="7"/>
    </row>
    <row r="1068" ht="16" customHeight="1">
      <c r="A1068" s="5"/>
      <c r="B1068" s="6"/>
      <c r="C1068" s="6"/>
      <c r="D1068" s="6"/>
      <c r="E1068" s="6"/>
      <c r="F1068" s="6"/>
      <c r="G1068" s="6"/>
      <c r="H1068" s="6"/>
      <c r="I1068" s="6"/>
      <c r="J1068" s="7"/>
    </row>
    <row r="1069" ht="16" customHeight="1">
      <c r="A1069" s="5"/>
      <c r="B1069" s="6"/>
      <c r="C1069" s="6"/>
      <c r="D1069" s="6"/>
      <c r="E1069" s="6"/>
      <c r="F1069" s="6"/>
      <c r="G1069" s="6"/>
      <c r="H1069" s="6"/>
      <c r="I1069" s="6"/>
      <c r="J1069" s="7"/>
    </row>
    <row r="1070" ht="16" customHeight="1">
      <c r="A1070" s="5"/>
      <c r="B1070" s="6"/>
      <c r="C1070" s="6"/>
      <c r="D1070" s="6"/>
      <c r="E1070" s="6"/>
      <c r="F1070" s="6"/>
      <c r="G1070" s="6"/>
      <c r="H1070" s="6"/>
      <c r="I1070" s="6"/>
      <c r="J1070" s="7"/>
    </row>
    <row r="1071" ht="16" customHeight="1">
      <c r="A1071" s="5"/>
      <c r="B1071" s="6"/>
      <c r="C1071" s="6"/>
      <c r="D1071" s="6"/>
      <c r="E1071" s="6"/>
      <c r="F1071" s="6"/>
      <c r="G1071" s="6"/>
      <c r="H1071" s="6"/>
      <c r="I1071" s="6"/>
      <c r="J1071" s="7"/>
    </row>
    <row r="1072" ht="16" customHeight="1">
      <c r="A1072" s="5"/>
      <c r="B1072" s="6"/>
      <c r="C1072" s="6"/>
      <c r="D1072" s="6"/>
      <c r="E1072" s="6"/>
      <c r="F1072" s="6"/>
      <c r="G1072" s="6"/>
      <c r="H1072" s="6"/>
      <c r="I1072" s="6"/>
      <c r="J1072" s="7"/>
    </row>
    <row r="1073" ht="16" customHeight="1">
      <c r="A1073" s="5"/>
      <c r="B1073" s="6"/>
      <c r="C1073" s="6"/>
      <c r="D1073" s="6"/>
      <c r="E1073" s="6"/>
      <c r="F1073" s="6"/>
      <c r="G1073" s="6"/>
      <c r="H1073" s="6"/>
      <c r="I1073" s="6"/>
      <c r="J1073" s="7"/>
    </row>
    <row r="1074" ht="16" customHeight="1">
      <c r="A1074" s="5"/>
      <c r="B1074" s="6"/>
      <c r="C1074" s="6"/>
      <c r="D1074" s="6"/>
      <c r="E1074" s="6"/>
      <c r="F1074" s="6"/>
      <c r="G1074" s="6"/>
      <c r="H1074" s="6"/>
      <c r="I1074" s="6"/>
      <c r="J1074" s="7"/>
    </row>
    <row r="1075" ht="16" customHeight="1">
      <c r="A1075" s="5"/>
      <c r="B1075" s="6"/>
      <c r="C1075" s="6"/>
      <c r="D1075" s="6"/>
      <c r="E1075" s="6"/>
      <c r="F1075" s="6"/>
      <c r="G1075" s="6"/>
      <c r="H1075" s="6"/>
      <c r="I1075" s="6"/>
      <c r="J1075" s="7"/>
    </row>
    <row r="1076" ht="16" customHeight="1">
      <c r="A1076" s="5"/>
      <c r="B1076" s="6"/>
      <c r="C1076" s="6"/>
      <c r="D1076" s="6"/>
      <c r="E1076" s="6"/>
      <c r="F1076" s="6"/>
      <c r="G1076" s="6"/>
      <c r="H1076" s="6"/>
      <c r="I1076" s="6"/>
      <c r="J1076" s="7"/>
    </row>
    <row r="1077" ht="16" customHeight="1">
      <c r="A1077" s="5"/>
      <c r="B1077" s="6"/>
      <c r="C1077" s="6"/>
      <c r="D1077" s="6"/>
      <c r="E1077" s="6"/>
      <c r="F1077" s="6"/>
      <c r="G1077" s="6"/>
      <c r="H1077" s="6"/>
      <c r="I1077" s="6"/>
      <c r="J1077" s="7"/>
    </row>
    <row r="1078" ht="16" customHeight="1">
      <c r="A1078" s="5"/>
      <c r="B1078" s="6"/>
      <c r="C1078" s="6"/>
      <c r="D1078" s="6"/>
      <c r="E1078" s="6"/>
      <c r="F1078" s="6"/>
      <c r="G1078" s="6"/>
      <c r="H1078" s="6"/>
      <c r="I1078" s="6"/>
      <c r="J1078" s="7"/>
    </row>
    <row r="1079" ht="16" customHeight="1">
      <c r="A1079" s="5"/>
      <c r="B1079" s="6"/>
      <c r="C1079" s="6"/>
      <c r="D1079" s="6"/>
      <c r="E1079" s="6"/>
      <c r="F1079" s="6"/>
      <c r="G1079" s="6"/>
      <c r="H1079" s="6"/>
      <c r="I1079" s="6"/>
      <c r="J1079" s="7"/>
    </row>
    <row r="1080" ht="16" customHeight="1">
      <c r="A1080" s="5"/>
      <c r="B1080" s="6"/>
      <c r="C1080" s="6"/>
      <c r="D1080" s="6"/>
      <c r="E1080" s="6"/>
      <c r="F1080" s="6"/>
      <c r="G1080" s="6"/>
      <c r="H1080" s="6"/>
      <c r="I1080" s="6"/>
      <c r="J1080" s="7"/>
    </row>
    <row r="1081" ht="16" customHeight="1">
      <c r="A1081" s="5"/>
      <c r="B1081" s="6"/>
      <c r="C1081" s="6"/>
      <c r="D1081" s="6"/>
      <c r="E1081" s="6"/>
      <c r="F1081" s="6"/>
      <c r="G1081" s="6"/>
      <c r="H1081" s="6"/>
      <c r="I1081" s="6"/>
      <c r="J1081" s="7"/>
    </row>
    <row r="1082" ht="16" customHeight="1">
      <c r="A1082" s="5"/>
      <c r="B1082" s="6"/>
      <c r="C1082" s="6"/>
      <c r="D1082" s="6"/>
      <c r="E1082" s="6"/>
      <c r="F1082" s="6"/>
      <c r="G1082" s="6"/>
      <c r="H1082" s="6"/>
      <c r="I1082" s="6"/>
      <c r="J1082" s="7"/>
    </row>
    <row r="1083" ht="16" customHeight="1">
      <c r="A1083" s="5"/>
      <c r="B1083" s="6"/>
      <c r="C1083" s="6"/>
      <c r="D1083" s="6"/>
      <c r="E1083" s="6"/>
      <c r="F1083" s="6"/>
      <c r="G1083" s="6"/>
      <c r="H1083" s="6"/>
      <c r="I1083" s="6"/>
      <c r="J1083" s="7"/>
    </row>
    <row r="1084" ht="16" customHeight="1">
      <c r="A1084" s="5"/>
      <c r="B1084" s="6"/>
      <c r="C1084" s="6"/>
      <c r="D1084" s="6"/>
      <c r="E1084" s="6"/>
      <c r="F1084" s="6"/>
      <c r="G1084" s="6"/>
      <c r="H1084" s="6"/>
      <c r="I1084" s="6"/>
      <c r="J1084" s="7"/>
    </row>
    <row r="1085" ht="16" customHeight="1">
      <c r="A1085" s="5"/>
      <c r="B1085" s="6"/>
      <c r="C1085" s="6"/>
      <c r="D1085" s="6"/>
      <c r="E1085" s="6"/>
      <c r="F1085" s="6"/>
      <c r="G1085" s="6"/>
      <c r="H1085" s="6"/>
      <c r="I1085" s="6"/>
      <c r="J1085" s="7"/>
    </row>
    <row r="1086" ht="16" customHeight="1">
      <c r="A1086" s="5"/>
      <c r="B1086" s="6"/>
      <c r="C1086" s="6"/>
      <c r="D1086" s="6"/>
      <c r="E1086" s="6"/>
      <c r="F1086" s="6"/>
      <c r="G1086" s="6"/>
      <c r="H1086" s="6"/>
      <c r="I1086" s="6"/>
      <c r="J1086" s="7"/>
    </row>
    <row r="1087" ht="16" customHeight="1">
      <c r="A1087" s="5"/>
      <c r="B1087" s="6"/>
      <c r="C1087" s="6"/>
      <c r="D1087" s="6"/>
      <c r="E1087" s="6"/>
      <c r="F1087" s="6"/>
      <c r="G1087" s="6"/>
      <c r="H1087" s="6"/>
      <c r="I1087" s="6"/>
      <c r="J1087" s="7"/>
    </row>
    <row r="1088" ht="16" customHeight="1">
      <c r="A1088" s="5"/>
      <c r="B1088" s="6"/>
      <c r="C1088" s="6"/>
      <c r="D1088" s="6"/>
      <c r="E1088" s="6"/>
      <c r="F1088" s="6"/>
      <c r="G1088" s="6"/>
      <c r="H1088" s="6"/>
      <c r="I1088" s="6"/>
      <c r="J1088" s="7"/>
    </row>
    <row r="1089" ht="16" customHeight="1">
      <c r="A1089" s="5"/>
      <c r="B1089" s="6"/>
      <c r="C1089" s="6"/>
      <c r="D1089" s="6"/>
      <c r="E1089" s="6"/>
      <c r="F1089" s="6"/>
      <c r="G1089" s="6"/>
      <c r="H1089" s="6"/>
      <c r="I1089" s="6"/>
      <c r="J1089" s="7"/>
    </row>
    <row r="1090" ht="16" customHeight="1">
      <c r="A1090" s="5"/>
      <c r="B1090" s="6"/>
      <c r="C1090" s="6"/>
      <c r="D1090" s="6"/>
      <c r="E1090" s="6"/>
      <c r="F1090" s="6"/>
      <c r="G1090" s="6"/>
      <c r="H1090" s="6"/>
      <c r="I1090" s="6"/>
      <c r="J1090" s="7"/>
    </row>
    <row r="1091" ht="16" customHeight="1">
      <c r="A1091" s="5"/>
      <c r="B1091" s="6"/>
      <c r="C1091" s="6"/>
      <c r="D1091" s="6"/>
      <c r="E1091" s="6"/>
      <c r="F1091" s="6"/>
      <c r="G1091" s="6"/>
      <c r="H1091" s="6"/>
      <c r="I1091" s="6"/>
      <c r="J1091" s="7"/>
    </row>
    <row r="1092" ht="16" customHeight="1">
      <c r="A1092" s="5"/>
      <c r="B1092" s="6"/>
      <c r="C1092" s="6"/>
      <c r="D1092" s="6"/>
      <c r="E1092" s="6"/>
      <c r="F1092" s="6"/>
      <c r="G1092" s="6"/>
      <c r="H1092" s="6"/>
      <c r="I1092" s="6"/>
      <c r="J1092" s="7"/>
    </row>
    <row r="1093" ht="16" customHeight="1">
      <c r="A1093" s="5"/>
      <c r="B1093" s="6"/>
      <c r="C1093" s="6"/>
      <c r="D1093" s="6"/>
      <c r="E1093" s="6"/>
      <c r="F1093" s="6"/>
      <c r="G1093" s="6"/>
      <c r="H1093" s="6"/>
      <c r="I1093" s="6"/>
      <c r="J1093" s="7"/>
    </row>
    <row r="1094" ht="16" customHeight="1">
      <c r="A1094" s="5"/>
      <c r="B1094" s="6"/>
      <c r="C1094" s="6"/>
      <c r="D1094" s="6"/>
      <c r="E1094" s="6"/>
      <c r="F1094" s="6"/>
      <c r="G1094" s="6"/>
      <c r="H1094" s="6"/>
      <c r="I1094" s="6"/>
      <c r="J1094" s="7"/>
    </row>
    <row r="1095" ht="16" customHeight="1">
      <c r="A1095" s="5"/>
      <c r="B1095" s="6"/>
      <c r="C1095" s="6"/>
      <c r="D1095" s="6"/>
      <c r="E1095" s="6"/>
      <c r="F1095" s="6"/>
      <c r="G1095" s="6"/>
      <c r="H1095" s="6"/>
      <c r="I1095" s="6"/>
      <c r="J1095" s="7"/>
    </row>
    <row r="1096" ht="16" customHeight="1">
      <c r="A1096" s="5"/>
      <c r="B1096" s="6"/>
      <c r="C1096" s="6"/>
      <c r="D1096" s="6"/>
      <c r="E1096" s="6"/>
      <c r="F1096" s="6"/>
      <c r="G1096" s="6"/>
      <c r="H1096" s="6"/>
      <c r="I1096" s="6"/>
      <c r="J1096" s="7"/>
    </row>
    <row r="1097" ht="16" customHeight="1">
      <c r="A1097" s="5"/>
      <c r="B1097" s="6"/>
      <c r="C1097" s="6"/>
      <c r="D1097" s="6"/>
      <c r="E1097" s="6"/>
      <c r="F1097" s="6"/>
      <c r="G1097" s="6"/>
      <c r="H1097" s="6"/>
      <c r="I1097" s="6"/>
      <c r="J1097" s="7"/>
    </row>
    <row r="1098" ht="16" customHeight="1">
      <c r="A1098" s="5"/>
      <c r="B1098" s="6"/>
      <c r="C1098" s="6"/>
      <c r="D1098" s="6"/>
      <c r="E1098" s="6"/>
      <c r="F1098" s="6"/>
      <c r="G1098" s="6"/>
      <c r="H1098" s="6"/>
      <c r="I1098" s="6"/>
      <c r="J1098" s="7"/>
    </row>
    <row r="1099" ht="16" customHeight="1">
      <c r="A1099" s="5"/>
      <c r="B1099" s="6"/>
      <c r="C1099" s="6"/>
      <c r="D1099" s="6"/>
      <c r="E1099" s="6"/>
      <c r="F1099" s="6"/>
      <c r="G1099" s="6"/>
      <c r="H1099" s="6"/>
      <c r="I1099" s="6"/>
      <c r="J1099" s="7"/>
    </row>
    <row r="1100" ht="16" customHeight="1">
      <c r="A1100" s="5"/>
      <c r="B1100" s="6"/>
      <c r="C1100" s="6"/>
      <c r="D1100" s="6"/>
      <c r="E1100" s="6"/>
      <c r="F1100" s="6"/>
      <c r="G1100" s="6"/>
      <c r="H1100" s="6"/>
      <c r="I1100" s="6"/>
      <c r="J1100" s="7"/>
    </row>
    <row r="1101" ht="16" customHeight="1">
      <c r="A1101" s="5"/>
      <c r="B1101" s="6"/>
      <c r="C1101" s="6"/>
      <c r="D1101" s="6"/>
      <c r="E1101" s="6"/>
      <c r="F1101" s="6"/>
      <c r="G1101" s="6"/>
      <c r="H1101" s="6"/>
      <c r="I1101" s="6"/>
      <c r="J1101" s="7"/>
    </row>
    <row r="1102" ht="16" customHeight="1">
      <c r="A1102" s="5"/>
      <c r="B1102" s="6"/>
      <c r="C1102" s="6"/>
      <c r="D1102" s="6"/>
      <c r="E1102" s="6"/>
      <c r="F1102" s="6"/>
      <c r="G1102" s="6"/>
      <c r="H1102" s="6"/>
      <c r="I1102" s="6"/>
      <c r="J1102" s="7"/>
    </row>
    <row r="1103" ht="16" customHeight="1">
      <c r="A1103" s="5"/>
      <c r="B1103" s="6"/>
      <c r="C1103" s="6"/>
      <c r="D1103" s="6"/>
      <c r="E1103" s="6"/>
      <c r="F1103" s="6"/>
      <c r="G1103" s="6"/>
      <c r="H1103" s="6"/>
      <c r="I1103" s="6"/>
      <c r="J1103" s="7"/>
    </row>
    <row r="1104" ht="16" customHeight="1">
      <c r="A1104" s="5"/>
      <c r="B1104" s="6"/>
      <c r="C1104" s="6"/>
      <c r="D1104" s="6"/>
      <c r="E1104" s="6"/>
      <c r="F1104" s="6"/>
      <c r="G1104" s="6"/>
      <c r="H1104" s="6"/>
      <c r="I1104" s="6"/>
      <c r="J1104" s="7"/>
    </row>
    <row r="1105" ht="16" customHeight="1">
      <c r="A1105" s="5"/>
      <c r="B1105" s="6"/>
      <c r="C1105" s="6"/>
      <c r="D1105" s="6"/>
      <c r="E1105" s="6"/>
      <c r="F1105" s="6"/>
      <c r="G1105" s="6"/>
      <c r="H1105" s="6"/>
      <c r="I1105" s="6"/>
      <c r="J1105" s="7"/>
    </row>
    <row r="1106" ht="16" customHeight="1">
      <c r="A1106" s="5"/>
      <c r="B1106" s="6"/>
      <c r="C1106" s="6"/>
      <c r="D1106" s="6"/>
      <c r="E1106" s="6"/>
      <c r="F1106" s="6"/>
      <c r="G1106" s="6"/>
      <c r="H1106" s="6"/>
      <c r="I1106" s="6"/>
      <c r="J1106" s="7"/>
    </row>
    <row r="1107" ht="16" customHeight="1">
      <c r="A1107" s="5"/>
      <c r="B1107" s="6"/>
      <c r="C1107" s="6"/>
      <c r="D1107" s="6"/>
      <c r="E1107" s="6"/>
      <c r="F1107" s="6"/>
      <c r="G1107" s="6"/>
      <c r="H1107" s="6"/>
      <c r="I1107" s="6"/>
      <c r="J1107" s="7"/>
    </row>
    <row r="1108" ht="16" customHeight="1">
      <c r="A1108" s="5"/>
      <c r="B1108" s="6"/>
      <c r="C1108" s="6"/>
      <c r="D1108" s="6"/>
      <c r="E1108" s="6"/>
      <c r="F1108" s="6"/>
      <c r="G1108" s="6"/>
      <c r="H1108" s="6"/>
      <c r="I1108" s="6"/>
      <c r="J1108" s="7"/>
    </row>
    <row r="1109" ht="16" customHeight="1">
      <c r="A1109" s="5"/>
      <c r="B1109" s="6"/>
      <c r="C1109" s="6"/>
      <c r="D1109" s="6"/>
      <c r="E1109" s="6"/>
      <c r="F1109" s="6"/>
      <c r="G1109" s="6"/>
      <c r="H1109" s="6"/>
      <c r="I1109" s="6"/>
      <c r="J1109" s="7"/>
    </row>
    <row r="1110" ht="16" customHeight="1">
      <c r="A1110" s="5"/>
      <c r="B1110" s="6"/>
      <c r="C1110" s="6"/>
      <c r="D1110" s="6"/>
      <c r="E1110" s="6"/>
      <c r="F1110" s="6"/>
      <c r="G1110" s="6"/>
      <c r="H1110" s="6"/>
      <c r="I1110" s="6"/>
      <c r="J1110" s="7"/>
    </row>
    <row r="1111" ht="16" customHeight="1">
      <c r="A1111" s="5"/>
      <c r="B1111" s="6"/>
      <c r="C1111" s="6"/>
      <c r="D1111" s="6"/>
      <c r="E1111" s="6"/>
      <c r="F1111" s="6"/>
      <c r="G1111" s="6"/>
      <c r="H1111" s="6"/>
      <c r="I1111" s="6"/>
      <c r="J1111" s="7"/>
    </row>
    <row r="1112" ht="16" customHeight="1">
      <c r="A1112" s="5"/>
      <c r="B1112" s="6"/>
      <c r="C1112" s="6"/>
      <c r="D1112" s="6"/>
      <c r="E1112" s="6"/>
      <c r="F1112" s="6"/>
      <c r="G1112" s="6"/>
      <c r="H1112" s="6"/>
      <c r="I1112" s="6"/>
      <c r="J1112" s="7"/>
    </row>
    <row r="1113" ht="16" customHeight="1">
      <c r="A1113" s="5"/>
      <c r="B1113" s="6"/>
      <c r="C1113" s="6"/>
      <c r="D1113" s="6"/>
      <c r="E1113" s="6"/>
      <c r="F1113" s="6"/>
      <c r="G1113" s="6"/>
      <c r="H1113" s="6"/>
      <c r="I1113" s="6"/>
      <c r="J1113" s="7"/>
    </row>
    <row r="1114" ht="16" customHeight="1">
      <c r="A1114" s="5"/>
      <c r="B1114" s="6"/>
      <c r="C1114" s="6"/>
      <c r="D1114" s="6"/>
      <c r="E1114" s="6"/>
      <c r="F1114" s="6"/>
      <c r="G1114" s="6"/>
      <c r="H1114" s="6"/>
      <c r="I1114" s="6"/>
      <c r="J1114" s="7"/>
    </row>
    <row r="1115" ht="16" customHeight="1">
      <c r="A1115" s="5"/>
      <c r="B1115" s="6"/>
      <c r="C1115" s="6"/>
      <c r="D1115" s="6"/>
      <c r="E1115" s="6"/>
      <c r="F1115" s="6"/>
      <c r="G1115" s="6"/>
      <c r="H1115" s="6"/>
      <c r="I1115" s="6"/>
      <c r="J1115" s="7"/>
    </row>
    <row r="1116" ht="16" customHeight="1">
      <c r="A1116" s="5"/>
      <c r="B1116" s="6"/>
      <c r="C1116" s="6"/>
      <c r="D1116" s="6"/>
      <c r="E1116" s="6"/>
      <c r="F1116" s="6"/>
      <c r="G1116" s="6"/>
      <c r="H1116" s="6"/>
      <c r="I1116" s="6"/>
      <c r="J1116" s="7"/>
    </row>
    <row r="1117" ht="16" customHeight="1">
      <c r="A1117" s="5"/>
      <c r="B1117" s="6"/>
      <c r="C1117" s="6"/>
      <c r="D1117" s="6"/>
      <c r="E1117" s="6"/>
      <c r="F1117" s="6"/>
      <c r="G1117" s="6"/>
      <c r="H1117" s="6"/>
      <c r="I1117" s="6"/>
      <c r="J1117" s="7"/>
    </row>
    <row r="1118" ht="16" customHeight="1">
      <c r="A1118" s="5"/>
      <c r="B1118" s="6"/>
      <c r="C1118" s="6"/>
      <c r="D1118" s="6"/>
      <c r="E1118" s="6"/>
      <c r="F1118" s="6"/>
      <c r="G1118" s="6"/>
      <c r="H1118" s="6"/>
      <c r="I1118" s="6"/>
      <c r="J1118" s="7"/>
    </row>
    <row r="1119" ht="16" customHeight="1">
      <c r="A1119" s="5"/>
      <c r="B1119" s="6"/>
      <c r="C1119" s="6"/>
      <c r="D1119" s="6"/>
      <c r="E1119" s="6"/>
      <c r="F1119" s="6"/>
      <c r="G1119" s="6"/>
      <c r="H1119" s="6"/>
      <c r="I1119" s="6"/>
      <c r="J1119" s="7"/>
    </row>
    <row r="1120" ht="16" customHeight="1">
      <c r="A1120" s="5"/>
      <c r="B1120" s="6"/>
      <c r="C1120" s="6"/>
      <c r="D1120" s="6"/>
      <c r="E1120" s="6"/>
      <c r="F1120" s="6"/>
      <c r="G1120" s="6"/>
      <c r="H1120" s="6"/>
      <c r="I1120" s="6"/>
      <c r="J1120" s="7"/>
    </row>
    <row r="1121" ht="16" customHeight="1">
      <c r="A1121" s="5"/>
      <c r="B1121" s="6"/>
      <c r="C1121" s="6"/>
      <c r="D1121" s="6"/>
      <c r="E1121" s="6"/>
      <c r="F1121" s="6"/>
      <c r="G1121" s="6"/>
      <c r="H1121" s="6"/>
      <c r="I1121" s="6"/>
      <c r="J1121" s="7"/>
    </row>
    <row r="1122" ht="16" customHeight="1">
      <c r="A1122" s="5"/>
      <c r="B1122" s="6"/>
      <c r="C1122" s="6"/>
      <c r="D1122" s="6"/>
      <c r="E1122" s="6"/>
      <c r="F1122" s="6"/>
      <c r="G1122" s="6"/>
      <c r="H1122" s="6"/>
      <c r="I1122" s="6"/>
      <c r="J1122" s="7"/>
    </row>
    <row r="1123" ht="16" customHeight="1">
      <c r="A1123" s="5"/>
      <c r="B1123" s="6"/>
      <c r="C1123" s="6"/>
      <c r="D1123" s="6"/>
      <c r="E1123" s="6"/>
      <c r="F1123" s="6"/>
      <c r="G1123" s="6"/>
      <c r="H1123" s="6"/>
      <c r="I1123" s="6"/>
      <c r="J1123" s="7"/>
    </row>
    <row r="1124" ht="16" customHeight="1">
      <c r="A1124" s="5"/>
      <c r="B1124" s="6"/>
      <c r="C1124" s="6"/>
      <c r="D1124" s="6"/>
      <c r="E1124" s="6"/>
      <c r="F1124" s="6"/>
      <c r="G1124" s="6"/>
      <c r="H1124" s="6"/>
      <c r="I1124" s="6"/>
      <c r="J1124" s="7"/>
    </row>
    <row r="1125" ht="16" customHeight="1">
      <c r="A1125" s="5"/>
      <c r="B1125" s="6"/>
      <c r="C1125" s="6"/>
      <c r="D1125" s="6"/>
      <c r="E1125" s="6"/>
      <c r="F1125" s="6"/>
      <c r="G1125" s="6"/>
      <c r="H1125" s="6"/>
      <c r="I1125" s="6"/>
      <c r="J1125" s="7"/>
    </row>
    <row r="1126" ht="16" customHeight="1">
      <c r="A1126" s="5"/>
      <c r="B1126" s="6"/>
      <c r="C1126" s="6"/>
      <c r="D1126" s="6"/>
      <c r="E1126" s="6"/>
      <c r="F1126" s="6"/>
      <c r="G1126" s="6"/>
      <c r="H1126" s="6"/>
      <c r="I1126" s="6"/>
      <c r="J1126" s="7"/>
    </row>
    <row r="1127" ht="16" customHeight="1">
      <c r="A1127" s="5"/>
      <c r="B1127" s="6"/>
      <c r="C1127" s="6"/>
      <c r="D1127" s="6"/>
      <c r="E1127" s="6"/>
      <c r="F1127" s="6"/>
      <c r="G1127" s="6"/>
      <c r="H1127" s="6"/>
      <c r="I1127" s="6"/>
      <c r="J1127" s="7"/>
    </row>
    <row r="1128" ht="16" customHeight="1">
      <c r="A1128" s="5"/>
      <c r="B1128" s="6"/>
      <c r="C1128" s="6"/>
      <c r="D1128" s="6"/>
      <c r="E1128" s="6"/>
      <c r="F1128" s="6"/>
      <c r="G1128" s="6"/>
      <c r="H1128" s="6"/>
      <c r="I1128" s="6"/>
      <c r="J1128" s="7"/>
    </row>
    <row r="1129" ht="16" customHeight="1">
      <c r="A1129" s="5"/>
      <c r="B1129" s="6"/>
      <c r="C1129" s="6"/>
      <c r="D1129" s="6"/>
      <c r="E1129" s="6"/>
      <c r="F1129" s="6"/>
      <c r="G1129" s="6"/>
      <c r="H1129" s="6"/>
      <c r="I1129" s="6"/>
      <c r="J1129" s="7"/>
    </row>
    <row r="1130" ht="16" customHeight="1">
      <c r="A1130" s="5"/>
      <c r="B1130" s="6"/>
      <c r="C1130" s="6"/>
      <c r="D1130" s="6"/>
      <c r="E1130" s="6"/>
      <c r="F1130" s="6"/>
      <c r="G1130" s="6"/>
      <c r="H1130" s="6"/>
      <c r="I1130" s="6"/>
      <c r="J1130" s="7"/>
    </row>
    <row r="1131" ht="16" customHeight="1">
      <c r="A1131" s="5"/>
      <c r="B1131" s="6"/>
      <c r="C1131" s="6"/>
      <c r="D1131" s="6"/>
      <c r="E1131" s="6"/>
      <c r="F1131" s="6"/>
      <c r="G1131" s="6"/>
      <c r="H1131" s="6"/>
      <c r="I1131" s="6"/>
      <c r="J1131" s="7"/>
    </row>
    <row r="1132" ht="16" customHeight="1">
      <c r="A1132" s="5"/>
      <c r="B1132" s="6"/>
      <c r="C1132" s="6"/>
      <c r="D1132" s="6"/>
      <c r="E1132" s="6"/>
      <c r="F1132" s="6"/>
      <c r="G1132" s="6"/>
      <c r="H1132" s="6"/>
      <c r="I1132" s="6"/>
      <c r="J1132" s="7"/>
    </row>
    <row r="1133" ht="16" customHeight="1">
      <c r="A1133" s="5"/>
      <c r="B1133" s="6"/>
      <c r="C1133" s="6"/>
      <c r="D1133" s="6"/>
      <c r="E1133" s="6"/>
      <c r="F1133" s="6"/>
      <c r="G1133" s="6"/>
      <c r="H1133" s="6"/>
      <c r="I1133" s="6"/>
      <c r="J1133" s="7"/>
    </row>
    <row r="1134" ht="16" customHeight="1">
      <c r="A1134" s="5"/>
      <c r="B1134" s="6"/>
      <c r="C1134" s="6"/>
      <c r="D1134" s="6"/>
      <c r="E1134" s="6"/>
      <c r="F1134" s="6"/>
      <c r="G1134" s="6"/>
      <c r="H1134" s="6"/>
      <c r="I1134" s="6"/>
      <c r="J1134" s="7"/>
    </row>
    <row r="1135" ht="16" customHeight="1">
      <c r="A1135" s="5"/>
      <c r="B1135" s="6"/>
      <c r="C1135" s="6"/>
      <c r="D1135" s="6"/>
      <c r="E1135" s="6"/>
      <c r="F1135" s="6"/>
      <c r="G1135" s="6"/>
      <c r="H1135" s="6"/>
      <c r="I1135" s="6"/>
      <c r="J1135" s="7"/>
    </row>
    <row r="1136" ht="16" customHeight="1">
      <c r="A1136" s="5"/>
      <c r="B1136" s="6"/>
      <c r="C1136" s="6"/>
      <c r="D1136" s="6"/>
      <c r="E1136" s="6"/>
      <c r="F1136" s="6"/>
      <c r="G1136" s="6"/>
      <c r="H1136" s="6"/>
      <c r="I1136" s="6"/>
      <c r="J1136" s="7"/>
    </row>
    <row r="1137" ht="16" customHeight="1">
      <c r="A1137" s="5"/>
      <c r="B1137" s="6"/>
      <c r="C1137" s="6"/>
      <c r="D1137" s="6"/>
      <c r="E1137" s="6"/>
      <c r="F1137" s="6"/>
      <c r="G1137" s="6"/>
      <c r="H1137" s="6"/>
      <c r="I1137" s="6"/>
      <c r="J1137" s="7"/>
    </row>
    <row r="1138" ht="16" customHeight="1">
      <c r="A1138" s="5"/>
      <c r="B1138" s="6"/>
      <c r="C1138" s="6"/>
      <c r="D1138" s="6"/>
      <c r="E1138" s="6"/>
      <c r="F1138" s="6"/>
      <c r="G1138" s="6"/>
      <c r="H1138" s="6"/>
      <c r="I1138" s="6"/>
      <c r="J1138" s="7"/>
    </row>
    <row r="1139" ht="16" customHeight="1">
      <c r="A1139" s="5"/>
      <c r="B1139" s="6"/>
      <c r="C1139" s="6"/>
      <c r="D1139" s="6"/>
      <c r="E1139" s="6"/>
      <c r="F1139" s="6"/>
      <c r="G1139" s="6"/>
      <c r="H1139" s="6"/>
      <c r="I1139" s="6"/>
      <c r="J1139" s="7"/>
    </row>
    <row r="1140" ht="16" customHeight="1">
      <c r="A1140" s="5"/>
      <c r="B1140" s="6"/>
      <c r="C1140" s="6"/>
      <c r="D1140" s="6"/>
      <c r="E1140" s="6"/>
      <c r="F1140" s="6"/>
      <c r="G1140" s="6"/>
      <c r="H1140" s="6"/>
      <c r="I1140" s="6"/>
      <c r="J1140" s="7"/>
    </row>
    <row r="1141" ht="16" customHeight="1">
      <c r="A1141" s="5"/>
      <c r="B1141" s="6"/>
      <c r="C1141" s="6"/>
      <c r="D1141" s="6"/>
      <c r="E1141" s="6"/>
      <c r="F1141" s="6"/>
      <c r="G1141" s="6"/>
      <c r="H1141" s="6"/>
      <c r="I1141" s="6"/>
      <c r="J1141" s="7"/>
    </row>
    <row r="1142" ht="16" customHeight="1">
      <c r="A1142" s="5"/>
      <c r="B1142" s="6"/>
      <c r="C1142" s="6"/>
      <c r="D1142" s="6"/>
      <c r="E1142" s="6"/>
      <c r="F1142" s="6"/>
      <c r="G1142" s="6"/>
      <c r="H1142" s="6"/>
      <c r="I1142" s="6"/>
      <c r="J1142" s="7"/>
    </row>
    <row r="1143" ht="16" customHeight="1">
      <c r="A1143" s="5"/>
      <c r="B1143" s="6"/>
      <c r="C1143" s="6"/>
      <c r="D1143" s="6"/>
      <c r="E1143" s="6"/>
      <c r="F1143" s="6"/>
      <c r="G1143" s="6"/>
      <c r="H1143" s="6"/>
      <c r="I1143" s="6"/>
      <c r="J1143" s="7"/>
    </row>
    <row r="1144" ht="16" customHeight="1">
      <c r="A1144" s="5"/>
      <c r="B1144" s="6"/>
      <c r="C1144" s="6"/>
      <c r="D1144" s="6"/>
      <c r="E1144" s="6"/>
      <c r="F1144" s="6"/>
      <c r="G1144" s="6"/>
      <c r="H1144" s="6"/>
      <c r="I1144" s="6"/>
      <c r="J1144" s="7"/>
    </row>
    <row r="1145" ht="16" customHeight="1">
      <c r="A1145" s="5"/>
      <c r="B1145" s="6"/>
      <c r="C1145" s="6"/>
      <c r="D1145" s="6"/>
      <c r="E1145" s="6"/>
      <c r="F1145" s="6"/>
      <c r="G1145" s="6"/>
      <c r="H1145" s="6"/>
      <c r="I1145" s="6"/>
      <c r="J1145" s="7"/>
    </row>
    <row r="1146" ht="16" customHeight="1">
      <c r="A1146" s="5"/>
      <c r="B1146" s="6"/>
      <c r="C1146" s="6"/>
      <c r="D1146" s="6"/>
      <c r="E1146" s="6"/>
      <c r="F1146" s="6"/>
      <c r="G1146" s="6"/>
      <c r="H1146" s="6"/>
      <c r="I1146" s="6"/>
      <c r="J1146" s="7"/>
    </row>
    <row r="1147" ht="16" customHeight="1">
      <c r="A1147" s="5"/>
      <c r="B1147" s="6"/>
      <c r="C1147" s="6"/>
      <c r="D1147" s="6"/>
      <c r="E1147" s="6"/>
      <c r="F1147" s="6"/>
      <c r="G1147" s="6"/>
      <c r="H1147" s="6"/>
      <c r="I1147" s="6"/>
      <c r="J1147" s="7"/>
    </row>
    <row r="1148" ht="16" customHeight="1">
      <c r="A1148" s="5"/>
      <c r="B1148" s="6"/>
      <c r="C1148" s="6"/>
      <c r="D1148" s="6"/>
      <c r="E1148" s="6"/>
      <c r="F1148" s="6"/>
      <c r="G1148" s="6"/>
      <c r="H1148" s="6"/>
      <c r="I1148" s="6"/>
      <c r="J1148" s="7"/>
    </row>
    <row r="1149" ht="16" customHeight="1">
      <c r="A1149" s="5"/>
      <c r="B1149" s="6"/>
      <c r="C1149" s="6"/>
      <c r="D1149" s="6"/>
      <c r="E1149" s="6"/>
      <c r="F1149" s="6"/>
      <c r="G1149" s="6"/>
      <c r="H1149" s="6"/>
      <c r="I1149" s="6"/>
      <c r="J1149" s="7"/>
    </row>
    <row r="1150" ht="16" customHeight="1">
      <c r="A1150" s="5"/>
      <c r="B1150" s="6"/>
      <c r="C1150" s="6"/>
      <c r="D1150" s="6"/>
      <c r="E1150" s="6"/>
      <c r="F1150" s="6"/>
      <c r="G1150" s="6"/>
      <c r="H1150" s="6"/>
      <c r="I1150" s="6"/>
      <c r="J1150" s="7"/>
    </row>
    <row r="1151" ht="16" customHeight="1">
      <c r="A1151" s="5"/>
      <c r="B1151" s="6"/>
      <c r="C1151" s="6"/>
      <c r="D1151" s="6"/>
      <c r="E1151" s="6"/>
      <c r="F1151" s="6"/>
      <c r="G1151" s="6"/>
      <c r="H1151" s="6"/>
      <c r="I1151" s="6"/>
      <c r="J1151" s="7"/>
    </row>
    <row r="1152" ht="16" customHeight="1">
      <c r="A1152" s="5"/>
      <c r="B1152" s="6"/>
      <c r="C1152" s="6"/>
      <c r="D1152" s="6"/>
      <c r="E1152" s="6"/>
      <c r="F1152" s="6"/>
      <c r="G1152" s="6"/>
      <c r="H1152" s="6"/>
      <c r="I1152" s="6"/>
      <c r="J1152" s="7"/>
    </row>
    <row r="1153" ht="16" customHeight="1">
      <c r="A1153" s="5"/>
      <c r="B1153" s="6"/>
      <c r="C1153" s="6"/>
      <c r="D1153" s="6"/>
      <c r="E1153" s="6"/>
      <c r="F1153" s="6"/>
      <c r="G1153" s="6"/>
      <c r="H1153" s="6"/>
      <c r="I1153" s="6"/>
      <c r="J1153" s="7"/>
    </row>
    <row r="1154" ht="16" customHeight="1">
      <c r="A1154" s="5"/>
      <c r="B1154" s="6"/>
      <c r="C1154" s="6"/>
      <c r="D1154" s="6"/>
      <c r="E1154" s="6"/>
      <c r="F1154" s="6"/>
      <c r="G1154" s="6"/>
      <c r="H1154" s="6"/>
      <c r="I1154" s="6"/>
      <c r="J1154" s="7"/>
    </row>
    <row r="1155" ht="16" customHeight="1">
      <c r="A1155" s="5"/>
      <c r="B1155" s="6"/>
      <c r="C1155" s="6"/>
      <c r="D1155" s="6"/>
      <c r="E1155" s="6"/>
      <c r="F1155" s="6"/>
      <c r="G1155" s="6"/>
      <c r="H1155" s="6"/>
      <c r="I1155" s="6"/>
      <c r="J1155" s="7"/>
    </row>
    <row r="1156" ht="16" customHeight="1">
      <c r="A1156" s="5"/>
      <c r="B1156" s="6"/>
      <c r="C1156" s="6"/>
      <c r="D1156" s="6"/>
      <c r="E1156" s="6"/>
      <c r="F1156" s="6"/>
      <c r="G1156" s="6"/>
      <c r="H1156" s="6"/>
      <c r="I1156" s="6"/>
      <c r="J1156" s="7"/>
    </row>
    <row r="1157" ht="16" customHeight="1">
      <c r="A1157" s="5"/>
      <c r="B1157" s="6"/>
      <c r="C1157" s="6"/>
      <c r="D1157" s="6"/>
      <c r="E1157" s="6"/>
      <c r="F1157" s="6"/>
      <c r="G1157" s="6"/>
      <c r="H1157" s="6"/>
      <c r="I1157" s="6"/>
      <c r="J1157" s="7"/>
    </row>
    <row r="1158" ht="16" customHeight="1">
      <c r="A1158" s="5"/>
      <c r="B1158" s="6"/>
      <c r="C1158" s="6"/>
      <c r="D1158" s="6"/>
      <c r="E1158" s="6"/>
      <c r="F1158" s="6"/>
      <c r="G1158" s="6"/>
      <c r="H1158" s="6"/>
      <c r="I1158" s="6"/>
      <c r="J1158" s="7"/>
    </row>
    <row r="1159" ht="16" customHeight="1">
      <c r="A1159" s="5"/>
      <c r="B1159" s="6"/>
      <c r="C1159" s="6"/>
      <c r="D1159" s="6"/>
      <c r="E1159" s="6"/>
      <c r="F1159" s="6"/>
      <c r="G1159" s="6"/>
      <c r="H1159" s="6"/>
      <c r="I1159" s="6"/>
      <c r="J1159" s="7"/>
    </row>
    <row r="1160" ht="16" customHeight="1">
      <c r="A1160" s="5"/>
      <c r="B1160" s="6"/>
      <c r="C1160" s="6"/>
      <c r="D1160" s="6"/>
      <c r="E1160" s="6"/>
      <c r="F1160" s="6"/>
      <c r="G1160" s="6"/>
      <c r="H1160" s="6"/>
      <c r="I1160" s="6"/>
      <c r="J1160" s="7"/>
    </row>
    <row r="1161" ht="16" customHeight="1">
      <c r="A1161" s="5"/>
      <c r="B1161" s="6"/>
      <c r="C1161" s="6"/>
      <c r="D1161" s="6"/>
      <c r="E1161" s="6"/>
      <c r="F1161" s="6"/>
      <c r="G1161" s="6"/>
      <c r="H1161" s="6"/>
      <c r="I1161" s="6"/>
      <c r="J1161" s="7"/>
    </row>
    <row r="1162" ht="16" customHeight="1">
      <c r="A1162" s="5"/>
      <c r="B1162" s="6"/>
      <c r="C1162" s="6"/>
      <c r="D1162" s="6"/>
      <c r="E1162" s="6"/>
      <c r="F1162" s="6"/>
      <c r="G1162" s="6"/>
      <c r="H1162" s="6"/>
      <c r="I1162" s="6"/>
      <c r="J1162" s="7"/>
    </row>
    <row r="1163" ht="16" customHeight="1">
      <c r="A1163" s="5"/>
      <c r="B1163" s="6"/>
      <c r="C1163" s="6"/>
      <c r="D1163" s="6"/>
      <c r="E1163" s="6"/>
      <c r="F1163" s="6"/>
      <c r="G1163" s="6"/>
      <c r="H1163" s="6"/>
      <c r="I1163" s="6"/>
      <c r="J1163" s="7"/>
    </row>
    <row r="1164" ht="16" customHeight="1">
      <c r="A1164" s="5"/>
      <c r="B1164" s="6"/>
      <c r="C1164" s="6"/>
      <c r="D1164" s="6"/>
      <c r="E1164" s="6"/>
      <c r="F1164" s="6"/>
      <c r="G1164" s="6"/>
      <c r="H1164" s="6"/>
      <c r="I1164" s="6"/>
      <c r="J1164" s="7"/>
    </row>
    <row r="1165" ht="16" customHeight="1">
      <c r="A1165" s="5"/>
      <c r="B1165" s="6"/>
      <c r="C1165" s="6"/>
      <c r="D1165" s="6"/>
      <c r="E1165" s="6"/>
      <c r="F1165" s="6"/>
      <c r="G1165" s="6"/>
      <c r="H1165" s="6"/>
      <c r="I1165" s="6"/>
      <c r="J1165" s="7"/>
    </row>
    <row r="1166" ht="16" customHeight="1">
      <c r="A1166" s="5"/>
      <c r="B1166" s="6"/>
      <c r="C1166" s="6"/>
      <c r="D1166" s="6"/>
      <c r="E1166" s="6"/>
      <c r="F1166" s="6"/>
      <c r="G1166" s="6"/>
      <c r="H1166" s="6"/>
      <c r="I1166" s="6"/>
      <c r="J1166" s="7"/>
    </row>
    <row r="1167" ht="16" customHeight="1">
      <c r="A1167" s="5"/>
      <c r="B1167" s="6"/>
      <c r="C1167" s="6"/>
      <c r="D1167" s="6"/>
      <c r="E1167" s="6"/>
      <c r="F1167" s="6"/>
      <c r="G1167" s="6"/>
      <c r="H1167" s="6"/>
      <c r="I1167" s="6"/>
      <c r="J1167" s="7"/>
    </row>
    <row r="1168" ht="16" customHeight="1">
      <c r="A1168" s="5"/>
      <c r="B1168" s="6"/>
      <c r="C1168" s="6"/>
      <c r="D1168" s="6"/>
      <c r="E1168" s="6"/>
      <c r="F1168" s="6"/>
      <c r="G1168" s="6"/>
      <c r="H1168" s="6"/>
      <c r="I1168" s="6"/>
      <c r="J1168" s="7"/>
    </row>
    <row r="1169" ht="16" customHeight="1">
      <c r="A1169" s="5"/>
      <c r="B1169" s="6"/>
      <c r="C1169" s="6"/>
      <c r="D1169" s="6"/>
      <c r="E1169" s="6"/>
      <c r="F1169" s="6"/>
      <c r="G1169" s="6"/>
      <c r="H1169" s="6"/>
      <c r="I1169" s="6"/>
      <c r="J1169" s="7"/>
    </row>
    <row r="1170" ht="16" customHeight="1">
      <c r="A1170" s="5"/>
      <c r="B1170" s="6"/>
      <c r="C1170" s="6"/>
      <c r="D1170" s="6"/>
      <c r="E1170" s="6"/>
      <c r="F1170" s="6"/>
      <c r="G1170" s="6"/>
      <c r="H1170" s="6"/>
      <c r="I1170" s="6"/>
      <c r="J1170" s="7"/>
    </row>
    <row r="1171" ht="16" customHeight="1">
      <c r="A1171" s="5"/>
      <c r="B1171" s="6"/>
      <c r="C1171" s="6"/>
      <c r="D1171" s="6"/>
      <c r="E1171" s="6"/>
      <c r="F1171" s="6"/>
      <c r="G1171" s="6"/>
      <c r="H1171" s="6"/>
      <c r="I1171" s="6"/>
      <c r="J1171" s="7"/>
    </row>
    <row r="1172" ht="16" customHeight="1">
      <c r="A1172" s="5"/>
      <c r="B1172" s="6"/>
      <c r="C1172" s="6"/>
      <c r="D1172" s="6"/>
      <c r="E1172" s="6"/>
      <c r="F1172" s="6"/>
      <c r="G1172" s="6"/>
      <c r="H1172" s="6"/>
      <c r="I1172" s="6"/>
      <c r="J1172" s="7"/>
    </row>
    <row r="1173" ht="16" customHeight="1">
      <c r="A1173" s="5"/>
      <c r="B1173" s="6"/>
      <c r="C1173" s="6"/>
      <c r="D1173" s="6"/>
      <c r="E1173" s="6"/>
      <c r="F1173" s="6"/>
      <c r="G1173" s="6"/>
      <c r="H1173" s="6"/>
      <c r="I1173" s="6"/>
      <c r="J1173" s="7"/>
    </row>
    <row r="1174" ht="16" customHeight="1">
      <c r="A1174" s="5"/>
      <c r="B1174" s="6"/>
      <c r="C1174" s="6"/>
      <c r="D1174" s="6"/>
      <c r="E1174" s="6"/>
      <c r="F1174" s="6"/>
      <c r="G1174" s="6"/>
      <c r="H1174" s="6"/>
      <c r="I1174" s="6"/>
      <c r="J1174" s="7"/>
    </row>
    <row r="1175" ht="16" customHeight="1">
      <c r="A1175" s="5"/>
      <c r="B1175" s="6"/>
      <c r="C1175" s="6"/>
      <c r="D1175" s="6"/>
      <c r="E1175" s="6"/>
      <c r="F1175" s="6"/>
      <c r="G1175" s="6"/>
      <c r="H1175" s="6"/>
      <c r="I1175" s="6"/>
      <c r="J1175" s="7"/>
    </row>
    <row r="1176" ht="16" customHeight="1">
      <c r="A1176" s="5"/>
      <c r="B1176" s="6"/>
      <c r="C1176" s="6"/>
      <c r="D1176" s="6"/>
      <c r="E1176" s="6"/>
      <c r="F1176" s="6"/>
      <c r="G1176" s="6"/>
      <c r="H1176" s="6"/>
      <c r="I1176" s="6"/>
      <c r="J1176" s="7"/>
    </row>
    <row r="1177" ht="16" customHeight="1">
      <c r="A1177" s="5"/>
      <c r="B1177" s="6"/>
      <c r="C1177" s="6"/>
      <c r="D1177" s="6"/>
      <c r="E1177" s="6"/>
      <c r="F1177" s="6"/>
      <c r="G1177" s="6"/>
      <c r="H1177" s="6"/>
      <c r="I1177" s="6"/>
      <c r="J1177" s="7"/>
    </row>
    <row r="1178" ht="16" customHeight="1">
      <c r="A1178" s="5"/>
      <c r="B1178" s="6"/>
      <c r="C1178" s="6"/>
      <c r="D1178" s="6"/>
      <c r="E1178" s="6"/>
      <c r="F1178" s="6"/>
      <c r="G1178" s="6"/>
      <c r="H1178" s="6"/>
      <c r="I1178" s="6"/>
      <c r="J1178" s="7"/>
    </row>
    <row r="1179" ht="16" customHeight="1">
      <c r="A1179" s="5"/>
      <c r="B1179" s="6"/>
      <c r="C1179" s="6"/>
      <c r="D1179" s="6"/>
      <c r="E1179" s="6"/>
      <c r="F1179" s="6"/>
      <c r="G1179" s="6"/>
      <c r="H1179" s="6"/>
      <c r="I1179" s="6"/>
      <c r="J1179" s="7"/>
    </row>
    <row r="1180" ht="16" customHeight="1">
      <c r="A1180" s="5"/>
      <c r="B1180" s="6"/>
      <c r="C1180" s="6"/>
      <c r="D1180" s="6"/>
      <c r="E1180" s="6"/>
      <c r="F1180" s="6"/>
      <c r="G1180" s="6"/>
      <c r="H1180" s="6"/>
      <c r="I1180" s="6"/>
      <c r="J1180" s="7"/>
    </row>
    <row r="1181" ht="16" customHeight="1">
      <c r="A1181" s="5"/>
      <c r="B1181" s="6"/>
      <c r="C1181" s="6"/>
      <c r="D1181" s="6"/>
      <c r="E1181" s="6"/>
      <c r="F1181" s="6"/>
      <c r="G1181" s="6"/>
      <c r="H1181" s="6"/>
      <c r="I1181" s="6"/>
      <c r="J1181" s="7"/>
    </row>
    <row r="1182" ht="16" customHeight="1">
      <c r="A1182" s="5"/>
      <c r="B1182" s="6"/>
      <c r="C1182" s="6"/>
      <c r="D1182" s="6"/>
      <c r="E1182" s="6"/>
      <c r="F1182" s="6"/>
      <c r="G1182" s="6"/>
      <c r="H1182" s="6"/>
      <c r="I1182" s="6"/>
      <c r="J1182" s="7"/>
    </row>
    <row r="1183" ht="16" customHeight="1">
      <c r="A1183" s="5"/>
      <c r="B1183" s="6"/>
      <c r="C1183" s="6"/>
      <c r="D1183" s="6"/>
      <c r="E1183" s="6"/>
      <c r="F1183" s="6"/>
      <c r="G1183" s="6"/>
      <c r="H1183" s="6"/>
      <c r="I1183" s="6"/>
      <c r="J1183" s="7"/>
    </row>
    <row r="1184" ht="16" customHeight="1">
      <c r="A1184" s="5"/>
      <c r="B1184" s="6"/>
      <c r="C1184" s="6"/>
      <c r="D1184" s="6"/>
      <c r="E1184" s="6"/>
      <c r="F1184" s="6"/>
      <c r="G1184" s="6"/>
      <c r="H1184" s="6"/>
      <c r="I1184" s="6"/>
      <c r="J1184" s="7"/>
    </row>
    <row r="1185" ht="16" customHeight="1">
      <c r="A1185" s="5"/>
      <c r="B1185" s="6"/>
      <c r="C1185" s="6"/>
      <c r="D1185" s="6"/>
      <c r="E1185" s="6"/>
      <c r="F1185" s="6"/>
      <c r="G1185" s="6"/>
      <c r="H1185" s="6"/>
      <c r="I1185" s="6"/>
      <c r="J1185" s="7"/>
    </row>
    <row r="1186" ht="16" customHeight="1">
      <c r="A1186" s="5"/>
      <c r="B1186" s="6"/>
      <c r="C1186" s="6"/>
      <c r="D1186" s="6"/>
      <c r="E1186" s="6"/>
      <c r="F1186" s="6"/>
      <c r="G1186" s="6"/>
      <c r="H1186" s="6"/>
      <c r="I1186" s="6"/>
      <c r="J1186" s="7"/>
    </row>
    <row r="1187" ht="16" customHeight="1">
      <c r="A1187" s="5"/>
      <c r="B1187" s="6"/>
      <c r="C1187" s="6"/>
      <c r="D1187" s="6"/>
      <c r="E1187" s="6"/>
      <c r="F1187" s="6"/>
      <c r="G1187" s="6"/>
      <c r="H1187" s="6"/>
      <c r="I1187" s="6"/>
      <c r="J1187" s="7"/>
    </row>
    <row r="1188" ht="16" customHeight="1">
      <c r="A1188" s="5"/>
      <c r="B1188" s="6"/>
      <c r="C1188" s="6"/>
      <c r="D1188" s="6"/>
      <c r="E1188" s="6"/>
      <c r="F1188" s="6"/>
      <c r="G1188" s="6"/>
      <c r="H1188" s="6"/>
      <c r="I1188" s="6"/>
      <c r="J1188" s="7"/>
    </row>
    <row r="1189" ht="16" customHeight="1">
      <c r="A1189" s="5"/>
      <c r="B1189" s="6"/>
      <c r="C1189" s="6"/>
      <c r="D1189" s="6"/>
      <c r="E1189" s="6"/>
      <c r="F1189" s="6"/>
      <c r="G1189" s="6"/>
      <c r="H1189" s="6"/>
      <c r="I1189" s="6"/>
      <c r="J1189" s="7"/>
    </row>
    <row r="1190" ht="16" customHeight="1">
      <c r="A1190" s="5"/>
      <c r="B1190" s="6"/>
      <c r="C1190" s="6"/>
      <c r="D1190" s="6"/>
      <c r="E1190" s="6"/>
      <c r="F1190" s="6"/>
      <c r="G1190" s="6"/>
      <c r="H1190" s="6"/>
      <c r="I1190" s="6"/>
      <c r="J1190" s="7"/>
    </row>
    <row r="1191" ht="16" customHeight="1">
      <c r="A1191" s="5"/>
      <c r="B1191" s="6"/>
      <c r="C1191" s="6"/>
      <c r="D1191" s="6"/>
      <c r="E1191" s="6"/>
      <c r="F1191" s="6"/>
      <c r="G1191" s="6"/>
      <c r="H1191" s="6"/>
      <c r="I1191" s="6"/>
      <c r="J1191" s="7"/>
    </row>
    <row r="1192" ht="16" customHeight="1">
      <c r="A1192" s="5"/>
      <c r="B1192" s="6"/>
      <c r="C1192" s="6"/>
      <c r="D1192" s="6"/>
      <c r="E1192" s="6"/>
      <c r="F1192" s="6"/>
      <c r="G1192" s="6"/>
      <c r="H1192" s="6"/>
      <c r="I1192" s="6"/>
      <c r="J1192" s="7"/>
    </row>
    <row r="1193" ht="16" customHeight="1">
      <c r="A1193" s="5"/>
      <c r="B1193" s="6"/>
      <c r="C1193" s="6"/>
      <c r="D1193" s="6"/>
      <c r="E1193" s="6"/>
      <c r="F1193" s="6"/>
      <c r="G1193" s="6"/>
      <c r="H1193" s="6"/>
      <c r="I1193" s="6"/>
      <c r="J1193" s="7"/>
    </row>
    <row r="1194" ht="16" customHeight="1">
      <c r="A1194" s="5"/>
      <c r="B1194" s="6"/>
      <c r="C1194" s="6"/>
      <c r="D1194" s="6"/>
      <c r="E1194" s="6"/>
      <c r="F1194" s="6"/>
      <c r="G1194" s="6"/>
      <c r="H1194" s="6"/>
      <c r="I1194" s="6"/>
      <c r="J1194" s="7"/>
    </row>
    <row r="1195" ht="16" customHeight="1">
      <c r="A1195" s="5"/>
      <c r="B1195" s="6"/>
      <c r="C1195" s="6"/>
      <c r="D1195" s="6"/>
      <c r="E1195" s="6"/>
      <c r="F1195" s="6"/>
      <c r="G1195" s="6"/>
      <c r="H1195" s="6"/>
      <c r="I1195" s="6"/>
      <c r="J1195" s="7"/>
    </row>
    <row r="1196" ht="16" customHeight="1">
      <c r="A1196" s="5"/>
      <c r="B1196" s="6"/>
      <c r="C1196" s="6"/>
      <c r="D1196" s="6"/>
      <c r="E1196" s="6"/>
      <c r="F1196" s="6"/>
      <c r="G1196" s="6"/>
      <c r="H1196" s="6"/>
      <c r="I1196" s="6"/>
      <c r="J1196" s="7"/>
    </row>
    <row r="1197" ht="16" customHeight="1">
      <c r="A1197" s="15"/>
      <c r="B1197" s="114"/>
      <c r="C1197" s="114"/>
      <c r="D1197" s="114"/>
      <c r="E1197" s="114"/>
      <c r="F1197" s="114"/>
      <c r="G1197" s="114"/>
      <c r="H1197" s="114"/>
      <c r="I1197" s="114"/>
      <c r="J1197" s="19"/>
    </row>
  </sheetData>
  <mergeCells count="6">
    <mergeCell ref="A471:G472"/>
    <mergeCell ref="A1:G2"/>
    <mergeCell ref="A174:G175"/>
    <mergeCell ref="A228:G229"/>
    <mergeCell ref="A282:G283"/>
    <mergeCell ref="A386:G387"/>
  </mergeCells>
  <pageMargins left="0" right="0" top="0" bottom="0" header="0" footer="0"/>
  <pageSetup firstPageNumber="1" fitToHeight="1" fitToWidth="1" scale="6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H73"/>
  <sheetViews>
    <sheetView workbookViewId="0" showGridLines="0" defaultGridColor="1"/>
  </sheetViews>
  <sheetFormatPr defaultColWidth="8.83333" defaultRowHeight="16.5" customHeight="1" outlineLevelRow="0" outlineLevelCol="0"/>
  <cols>
    <col min="1" max="1" width="17.8516" style="143" customWidth="1"/>
    <col min="2" max="2" width="15.3516" style="143" customWidth="1"/>
    <col min="3" max="3" width="15.8516" style="143" customWidth="1"/>
    <col min="4" max="4" width="14.3516" style="143" customWidth="1"/>
    <col min="5" max="5" width="17.8516" style="143" customWidth="1"/>
    <col min="6" max="6" width="18.5" style="143" customWidth="1"/>
    <col min="7" max="7" width="27" style="143" customWidth="1"/>
    <col min="8" max="8" width="17.8516" style="143" customWidth="1"/>
    <col min="9" max="16384" width="8.85156" style="143" customWidth="1"/>
  </cols>
  <sheetData>
    <row r="1" ht="20.25" customHeight="1">
      <c r="A1" t="s" s="127">
        <v>3479</v>
      </c>
      <c r="B1" s="144"/>
      <c r="C1" s="144"/>
      <c r="D1" s="144"/>
      <c r="E1" s="144"/>
      <c r="F1" s="144"/>
      <c r="G1" s="144"/>
      <c r="H1" s="144"/>
    </row>
    <row r="2" ht="20.25" customHeight="1">
      <c r="A2" s="144"/>
      <c r="B2" s="144"/>
      <c r="C2" s="144"/>
      <c r="D2" s="144"/>
      <c r="E2" s="144"/>
      <c r="F2" s="144"/>
      <c r="G2" s="144"/>
      <c r="H2" s="144"/>
    </row>
    <row r="3" ht="20.25" customHeight="1">
      <c r="A3" t="s" s="127">
        <v>3480</v>
      </c>
      <c r="B3" t="s" s="127">
        <v>3826</v>
      </c>
      <c r="C3" t="s" s="127">
        <v>3483</v>
      </c>
      <c r="D3" t="s" s="127">
        <v>3942</v>
      </c>
      <c r="E3" t="s" s="127">
        <v>3943</v>
      </c>
      <c r="F3" t="s" s="127">
        <v>3944</v>
      </c>
      <c r="G3" t="s" s="127">
        <v>2963</v>
      </c>
      <c r="H3" t="s" s="127">
        <v>3485</v>
      </c>
    </row>
    <row r="4" ht="20.25" customHeight="1">
      <c r="A4" t="s" s="127">
        <v>3486</v>
      </c>
      <c r="B4" t="s" s="127">
        <v>3487</v>
      </c>
      <c r="C4" t="s" s="127">
        <v>3487</v>
      </c>
      <c r="D4" t="s" s="127">
        <v>3487</v>
      </c>
      <c r="E4" s="145">
        <v>94</v>
      </c>
      <c r="F4" t="str" s="144" cm="1">
        <f t="array" ref="F4">IF(E4&gt;=65,"y","n")</f>
        <v>y</v>
      </c>
      <c r="G4" s="144"/>
      <c r="H4" t="s" s="127">
        <v>3489</v>
      </c>
    </row>
    <row r="5" ht="20.25" customHeight="1">
      <c r="A5" t="s" s="127">
        <v>3490</v>
      </c>
      <c r="B5" t="s" s="127">
        <v>3487</v>
      </c>
      <c r="C5" t="s" s="127">
        <v>3487</v>
      </c>
      <c r="D5" t="s" s="127">
        <v>3487</v>
      </c>
      <c r="E5" s="145">
        <v>88</v>
      </c>
      <c r="F5" t="str" s="144" cm="1">
        <f t="array" ref="F5">IF(E5&gt;=65,"y","n")</f>
        <v>y</v>
      </c>
      <c r="G5" s="144"/>
      <c r="H5" t="s" s="127">
        <v>3489</v>
      </c>
    </row>
    <row r="6" ht="20.25" customHeight="1">
      <c r="A6" t="s" s="127">
        <v>3491</v>
      </c>
      <c r="B6" t="s" s="127">
        <v>3487</v>
      </c>
      <c r="C6" t="s" s="127">
        <v>3487</v>
      </c>
      <c r="D6" t="s" s="127">
        <v>3487</v>
      </c>
      <c r="E6" s="145">
        <v>74</v>
      </c>
      <c r="F6" t="str" s="144" cm="1">
        <f t="array" ref="F6">IF(E6&gt;=65,"y","n")</f>
        <v>y</v>
      </c>
      <c r="G6" s="144"/>
      <c r="H6" t="s" s="127">
        <v>3489</v>
      </c>
    </row>
    <row r="7" ht="20.25" customHeight="1">
      <c r="A7" t="s" s="127">
        <v>3492</v>
      </c>
      <c r="B7" t="s" s="127">
        <v>3487</v>
      </c>
      <c r="C7" t="s" s="127">
        <v>3487</v>
      </c>
      <c r="D7" t="s" s="127">
        <v>3487</v>
      </c>
      <c r="E7" s="145">
        <v>71</v>
      </c>
      <c r="F7" t="str" s="144" cm="1">
        <f t="array" ref="F7">IF(E7&gt;=65,"y","n")</f>
        <v>y</v>
      </c>
      <c r="G7" s="144"/>
      <c r="H7" t="s" s="127">
        <v>3489</v>
      </c>
    </row>
    <row r="8" ht="20.25" customHeight="1" hidden="1">
      <c r="A8" t="s" s="146">
        <v>3493</v>
      </c>
      <c r="B8" t="s" s="147">
        <v>3487</v>
      </c>
      <c r="C8" t="s" s="147">
        <v>3487</v>
      </c>
      <c r="D8" t="s" s="147">
        <v>3487</v>
      </c>
      <c r="E8" s="148">
        <v>57</v>
      </c>
      <c r="F8" t="str" s="149" cm="1">
        <f t="array" ref="F8">IF(E8&gt;=65,"y","n")</f>
        <v>n</v>
      </c>
      <c r="G8" s="149"/>
      <c r="H8" t="s" s="150">
        <v>3489</v>
      </c>
    </row>
    <row r="9" ht="20.25" customHeight="1" hidden="1">
      <c r="A9" t="s" s="146">
        <v>3287</v>
      </c>
      <c r="B9" t="s" s="147">
        <v>3487</v>
      </c>
      <c r="C9" t="s" s="147">
        <v>3487</v>
      </c>
      <c r="D9" t="s" s="147">
        <v>3487</v>
      </c>
      <c r="E9" s="148">
        <v>61</v>
      </c>
      <c r="F9" t="str" s="149" cm="1">
        <f t="array" ref="F9">IF(E9&gt;=65,"y","n")</f>
        <v>n</v>
      </c>
      <c r="G9" s="149"/>
      <c r="H9" t="s" s="150">
        <v>3489</v>
      </c>
    </row>
    <row r="10" ht="20.25" customHeight="1">
      <c r="A10" t="s" s="127">
        <v>3494</v>
      </c>
      <c r="B10" t="s" s="127">
        <v>3487</v>
      </c>
      <c r="C10" t="s" s="127">
        <v>3487</v>
      </c>
      <c r="D10" t="s" s="127">
        <v>3487</v>
      </c>
      <c r="E10" s="145">
        <v>100</v>
      </c>
      <c r="F10" t="str" s="144" cm="1">
        <f t="array" ref="F10">IF(E10&gt;=65,"y","n")</f>
        <v>y</v>
      </c>
      <c r="G10" s="144"/>
      <c r="H10" t="s" s="127">
        <v>3489</v>
      </c>
    </row>
    <row r="11" ht="20.25" customHeight="1" hidden="1">
      <c r="A11" t="s" s="146">
        <v>3495</v>
      </c>
      <c r="B11" t="s" s="147">
        <v>3487</v>
      </c>
      <c r="C11" t="s" s="147">
        <v>3487</v>
      </c>
      <c r="D11" t="s" s="147">
        <v>3487</v>
      </c>
      <c r="E11" s="148">
        <v>58</v>
      </c>
      <c r="F11" t="str" s="149" cm="1">
        <f t="array" ref="F11">IF(E11&gt;=65,"y","n")</f>
        <v>n</v>
      </c>
      <c r="G11" s="149"/>
      <c r="H11" t="s" s="150">
        <v>3489</v>
      </c>
    </row>
    <row r="12" ht="20.25" customHeight="1">
      <c r="A12" t="s" s="127">
        <v>3209</v>
      </c>
      <c r="B12" t="s" s="127">
        <v>3487</v>
      </c>
      <c r="C12" t="s" s="127">
        <v>3487</v>
      </c>
      <c r="D12" t="s" s="127">
        <v>3487</v>
      </c>
      <c r="E12" s="145">
        <v>83</v>
      </c>
      <c r="F12" t="str" s="144" cm="1">
        <f t="array" ref="F12">IF(E12&gt;=65,"y","n")</f>
        <v>y</v>
      </c>
      <c r="G12" s="144"/>
      <c r="H12" t="s" s="127">
        <v>3489</v>
      </c>
    </row>
    <row r="13" ht="20.25" customHeight="1" hidden="1">
      <c r="A13" t="s" s="146">
        <v>2998</v>
      </c>
      <c r="B13" t="s" s="147">
        <v>3487</v>
      </c>
      <c r="C13" t="s" s="147">
        <v>3487</v>
      </c>
      <c r="D13" t="s" s="147">
        <v>3487</v>
      </c>
      <c r="E13" s="148">
        <v>50</v>
      </c>
      <c r="F13" t="str" s="149" cm="1">
        <f t="array" ref="F13">IF(E13&gt;=65,"y","n")</f>
        <v>n</v>
      </c>
      <c r="G13" s="149"/>
      <c r="H13" t="s" s="150">
        <v>3489</v>
      </c>
    </row>
    <row r="14" ht="20.25" customHeight="1">
      <c r="A14" t="s" s="127">
        <v>3496</v>
      </c>
      <c r="B14" t="s" s="127">
        <v>3487</v>
      </c>
      <c r="C14" t="s" s="127">
        <v>3487</v>
      </c>
      <c r="D14" t="s" s="127">
        <v>3487</v>
      </c>
      <c r="E14" s="145">
        <v>100</v>
      </c>
      <c r="F14" t="str" s="144" cm="1">
        <f t="array" ref="F14">IF(E14&gt;=65,"y","n")</f>
        <v>y</v>
      </c>
      <c r="G14" s="144"/>
      <c r="H14" t="s" s="127">
        <v>3489</v>
      </c>
    </row>
    <row r="15" ht="20.25" customHeight="1" hidden="1">
      <c r="A15" t="s" s="146">
        <v>3497</v>
      </c>
      <c r="B15" t="s" s="147">
        <v>3487</v>
      </c>
      <c r="C15" t="s" s="147">
        <v>3487</v>
      </c>
      <c r="D15" t="s" s="147">
        <v>3487</v>
      </c>
      <c r="E15" s="148">
        <v>55</v>
      </c>
      <c r="F15" t="str" s="149" cm="1">
        <f t="array" ref="F15">IF(E15&gt;=65,"y","n")</f>
        <v>n</v>
      </c>
      <c r="G15" s="149"/>
      <c r="H15" t="s" s="150">
        <v>3489</v>
      </c>
    </row>
    <row r="16" ht="20.25" customHeight="1">
      <c r="A16" t="s" s="127">
        <v>3498</v>
      </c>
      <c r="B16" t="s" s="127">
        <v>3487</v>
      </c>
      <c r="C16" t="s" s="127">
        <v>3487</v>
      </c>
      <c r="D16" t="s" s="127">
        <v>3487</v>
      </c>
      <c r="E16" s="145">
        <v>81</v>
      </c>
      <c r="F16" t="str" s="144" cm="1">
        <f t="array" ref="F16">IF(E16&gt;=65,"y","n")</f>
        <v>y</v>
      </c>
      <c r="G16" s="144"/>
      <c r="H16" t="s" s="127">
        <v>3489</v>
      </c>
    </row>
    <row r="17" ht="20.25" customHeight="1">
      <c r="A17" t="s" s="127">
        <v>3499</v>
      </c>
      <c r="B17" t="s" s="127">
        <v>3487</v>
      </c>
      <c r="C17" t="s" s="127">
        <v>3487</v>
      </c>
      <c r="D17" t="s" s="127">
        <v>3487</v>
      </c>
      <c r="E17" s="145">
        <v>100</v>
      </c>
      <c r="F17" t="str" s="144" cm="1">
        <f t="array" ref="F17">IF(E17&gt;=65,"y","n")</f>
        <v>y</v>
      </c>
      <c r="G17" s="144"/>
      <c r="H17" t="s" s="127">
        <v>3489</v>
      </c>
    </row>
    <row r="18" ht="20.25" customHeight="1" hidden="1">
      <c r="A18" t="s" s="146">
        <v>3500</v>
      </c>
      <c r="B18" t="s" s="147">
        <v>3487</v>
      </c>
      <c r="C18" t="s" s="147">
        <v>3487</v>
      </c>
      <c r="D18" t="s" s="147">
        <v>3487</v>
      </c>
      <c r="E18" s="148">
        <v>60</v>
      </c>
      <c r="F18" t="str" s="149" cm="1">
        <f t="array" ref="F18">IF(E18&gt;=65,"y","n")</f>
        <v>n</v>
      </c>
      <c r="G18" s="149"/>
      <c r="H18" t="s" s="150">
        <v>3489</v>
      </c>
    </row>
    <row r="19" ht="20.25" customHeight="1">
      <c r="A19" t="s" s="127">
        <v>3501</v>
      </c>
      <c r="B19" t="s" s="127">
        <v>3487</v>
      </c>
      <c r="C19" t="s" s="127">
        <v>3487</v>
      </c>
      <c r="D19" t="s" s="127">
        <v>3487</v>
      </c>
      <c r="E19" s="145">
        <v>88</v>
      </c>
      <c r="F19" t="str" s="144" cm="1">
        <f t="array" ref="F19">IF(E19&gt;=65,"y","n")</f>
        <v>y</v>
      </c>
      <c r="G19" s="144"/>
      <c r="H19" t="s" s="127">
        <v>3489</v>
      </c>
    </row>
    <row r="20" ht="20.25" customHeight="1" hidden="1">
      <c r="A20" t="s" s="146">
        <v>3502</v>
      </c>
      <c r="B20" t="s" s="147">
        <v>3487</v>
      </c>
      <c r="C20" t="s" s="147">
        <v>3487</v>
      </c>
      <c r="D20" t="s" s="147">
        <v>3487</v>
      </c>
      <c r="E20" s="148">
        <v>57</v>
      </c>
      <c r="F20" t="str" s="149" cm="1">
        <f t="array" ref="F20">IF(E20&gt;=65,"y","n")</f>
        <v>n</v>
      </c>
      <c r="G20" s="149"/>
      <c r="H20" t="s" s="150">
        <v>3489</v>
      </c>
    </row>
    <row r="21" ht="20.25" customHeight="1">
      <c r="A21" t="s" s="127">
        <v>3503</v>
      </c>
      <c r="B21" t="s" s="127">
        <v>3487</v>
      </c>
      <c r="C21" t="s" s="127">
        <v>3487</v>
      </c>
      <c r="D21" t="s" s="127">
        <v>3487</v>
      </c>
      <c r="E21" s="145">
        <v>70</v>
      </c>
      <c r="F21" t="str" s="144" cm="1">
        <f t="array" ref="F21">IF(E21&gt;=65,"y","n")</f>
        <v>y</v>
      </c>
      <c r="G21" s="144"/>
      <c r="H21" t="s" s="127">
        <v>3489</v>
      </c>
    </row>
    <row r="22" ht="20.25" customHeight="1">
      <c r="A22" t="s" s="127">
        <v>3504</v>
      </c>
      <c r="B22" t="s" s="127">
        <v>3487</v>
      </c>
      <c r="C22" t="s" s="127">
        <v>3487</v>
      </c>
      <c r="D22" t="s" s="127">
        <v>3487</v>
      </c>
      <c r="E22" s="145">
        <v>85</v>
      </c>
      <c r="F22" t="str" s="144" cm="1">
        <f t="array" ref="F22">IF(E22&gt;=65,"y","n")</f>
        <v>y</v>
      </c>
      <c r="G22" s="144"/>
      <c r="H22" t="s" s="127">
        <v>3489</v>
      </c>
    </row>
    <row r="23" ht="20.25" customHeight="1">
      <c r="A23" t="s" s="127">
        <v>3505</v>
      </c>
      <c r="B23" t="s" s="127">
        <v>3487</v>
      </c>
      <c r="C23" t="s" s="127">
        <v>3487</v>
      </c>
      <c r="D23" t="s" s="127">
        <v>3487</v>
      </c>
      <c r="E23" s="145">
        <v>77</v>
      </c>
      <c r="F23" t="str" s="144" cm="1">
        <f t="array" ref="F23">IF(E23&gt;=65,"y","n")</f>
        <v>y</v>
      </c>
      <c r="G23" s="144"/>
      <c r="H23" t="s" s="127">
        <v>3489</v>
      </c>
    </row>
    <row r="24" ht="20.25" customHeight="1">
      <c r="A24" t="s" s="127">
        <v>3506</v>
      </c>
      <c r="B24" t="s" s="127">
        <v>3487</v>
      </c>
      <c r="C24" t="s" s="127">
        <v>3487</v>
      </c>
      <c r="D24" t="s" s="127">
        <v>3487</v>
      </c>
      <c r="E24" s="145">
        <v>83</v>
      </c>
      <c r="F24" t="str" s="144" cm="1">
        <f t="array" ref="F24">IF(E24&gt;=65,"y","n")</f>
        <v>y</v>
      </c>
      <c r="G24" s="144"/>
      <c r="H24" t="s" s="127">
        <v>3489</v>
      </c>
    </row>
    <row r="25" ht="20.25" customHeight="1" hidden="1">
      <c r="A25" t="s" s="146">
        <v>3507</v>
      </c>
      <c r="B25" t="s" s="147">
        <v>3487</v>
      </c>
      <c r="C25" t="s" s="147">
        <v>3487</v>
      </c>
      <c r="D25" t="s" s="147">
        <v>3487</v>
      </c>
      <c r="E25" s="148">
        <v>53</v>
      </c>
      <c r="F25" t="str" s="149" cm="1">
        <f t="array" ref="F25">IF(E25&gt;=65,"y","n")</f>
        <v>n</v>
      </c>
      <c r="G25" s="149"/>
      <c r="H25" t="s" s="150">
        <v>3489</v>
      </c>
    </row>
    <row r="26" ht="20.25" customHeight="1">
      <c r="A26" t="s" s="127">
        <v>3508</v>
      </c>
      <c r="B26" t="s" s="127">
        <v>3487</v>
      </c>
      <c r="C26" t="s" s="127">
        <v>3487</v>
      </c>
      <c r="D26" t="s" s="127">
        <v>3487</v>
      </c>
      <c r="E26" s="145">
        <v>84</v>
      </c>
      <c r="F26" t="str" s="144" cm="1">
        <f t="array" ref="F26">IF(E26&gt;=65,"y","n")</f>
        <v>y</v>
      </c>
      <c r="G26" s="144"/>
      <c r="H26" t="s" s="127">
        <v>3489</v>
      </c>
    </row>
    <row r="27" ht="20.25" customHeight="1">
      <c r="A27" t="s" s="127">
        <v>3266</v>
      </c>
      <c r="B27" t="s" s="127">
        <v>3487</v>
      </c>
      <c r="C27" t="s" s="127">
        <v>3487</v>
      </c>
      <c r="D27" t="s" s="127">
        <v>3487</v>
      </c>
      <c r="E27" s="145">
        <v>92</v>
      </c>
      <c r="F27" t="str" s="144" cm="1">
        <f t="array" ref="F27">IF(E27&gt;=65,"y","n")</f>
        <v>y</v>
      </c>
      <c r="G27" s="144"/>
      <c r="H27" t="s" s="127">
        <v>3489</v>
      </c>
    </row>
    <row r="28" ht="20.25" customHeight="1">
      <c r="A28" t="s" s="127">
        <v>3509</v>
      </c>
      <c r="B28" t="s" s="127">
        <v>3487</v>
      </c>
      <c r="C28" t="s" s="127">
        <v>3487</v>
      </c>
      <c r="D28" t="s" s="127">
        <v>3487</v>
      </c>
      <c r="E28" s="145">
        <v>85</v>
      </c>
      <c r="F28" t="str" s="144" cm="1">
        <f t="array" ref="F28">IF(E28&gt;=65,"y","n")</f>
        <v>y</v>
      </c>
      <c r="G28" s="144"/>
      <c r="H28" t="s" s="127">
        <v>3489</v>
      </c>
    </row>
    <row r="29" ht="20.25" customHeight="1">
      <c r="A29" t="s" s="127">
        <v>3510</v>
      </c>
      <c r="B29" t="s" s="127">
        <v>3487</v>
      </c>
      <c r="C29" t="s" s="127">
        <v>3487</v>
      </c>
      <c r="D29" t="s" s="127">
        <v>3487</v>
      </c>
      <c r="E29" s="145">
        <v>69</v>
      </c>
      <c r="F29" t="str" s="144" cm="1">
        <f t="array" ref="F29">IF(E29&gt;=65,"y","n")</f>
        <v>y</v>
      </c>
      <c r="G29" s="144"/>
      <c r="H29" t="s" s="127">
        <v>3489</v>
      </c>
    </row>
    <row r="30" ht="20.25" customHeight="1">
      <c r="A30" t="s" s="127">
        <v>3511</v>
      </c>
      <c r="B30" t="s" s="127">
        <v>3487</v>
      </c>
      <c r="C30" t="s" s="127">
        <v>3487</v>
      </c>
      <c r="D30" t="s" s="127">
        <v>3487</v>
      </c>
      <c r="E30" s="145">
        <v>72</v>
      </c>
      <c r="F30" t="str" s="144" cm="1">
        <f t="array" ref="F30">IF(E30&gt;=65,"y","n")</f>
        <v>y</v>
      </c>
      <c r="G30" s="144"/>
      <c r="H30" t="s" s="127">
        <v>3489</v>
      </c>
    </row>
    <row r="31" ht="20.25" customHeight="1">
      <c r="A31" t="s" s="127">
        <v>3512</v>
      </c>
      <c r="B31" t="s" s="127">
        <v>3487</v>
      </c>
      <c r="C31" t="s" s="127">
        <v>3487</v>
      </c>
      <c r="D31" t="s" s="127">
        <v>3487</v>
      </c>
      <c r="E31" s="145">
        <v>75</v>
      </c>
      <c r="F31" t="str" s="144" cm="1">
        <f t="array" ref="F31">IF(E31&gt;=65,"y","n")</f>
        <v>y</v>
      </c>
      <c r="G31" s="144"/>
      <c r="H31" t="s" s="127">
        <v>3489</v>
      </c>
    </row>
    <row r="32" ht="20.25" customHeight="1">
      <c r="A32" t="s" s="127">
        <v>3513</v>
      </c>
      <c r="B32" t="s" s="127">
        <v>3487</v>
      </c>
      <c r="C32" t="s" s="127">
        <v>3487</v>
      </c>
      <c r="D32" t="s" s="127">
        <v>3487</v>
      </c>
      <c r="E32" s="145">
        <v>99</v>
      </c>
      <c r="F32" t="str" s="144" cm="1">
        <f t="array" ref="F32">IF(E32&gt;=65,"y","n")</f>
        <v>y</v>
      </c>
      <c r="G32" s="144"/>
      <c r="H32" t="s" s="127">
        <v>3489</v>
      </c>
    </row>
    <row r="33" ht="20.25" customHeight="1">
      <c r="A33" t="s" s="127">
        <v>3514</v>
      </c>
      <c r="B33" t="s" s="127">
        <v>3487</v>
      </c>
      <c r="C33" t="s" s="127">
        <v>3487</v>
      </c>
      <c r="D33" t="s" s="127">
        <v>3487</v>
      </c>
      <c r="E33" s="145">
        <v>88</v>
      </c>
      <c r="F33" t="str" s="144" cm="1">
        <f t="array" ref="F33">IF(E33&gt;=65,"y","n")</f>
        <v>y</v>
      </c>
      <c r="G33" s="144"/>
      <c r="H33" t="s" s="127">
        <v>3489</v>
      </c>
    </row>
    <row r="34" ht="20.25" customHeight="1">
      <c r="A34" t="s" s="127">
        <v>3515</v>
      </c>
      <c r="B34" t="s" s="127">
        <v>3487</v>
      </c>
      <c r="C34" t="s" s="127">
        <v>3487</v>
      </c>
      <c r="D34" t="s" s="127">
        <v>3487</v>
      </c>
      <c r="E34" s="145">
        <v>75</v>
      </c>
      <c r="F34" t="str" s="144" cm="1">
        <f t="array" ref="F34">IF(E34&gt;=65,"y","n")</f>
        <v>y</v>
      </c>
      <c r="G34" s="144"/>
      <c r="H34" t="s" s="127">
        <v>3489</v>
      </c>
    </row>
    <row r="35" ht="20.25" customHeight="1">
      <c r="A35" t="s" s="127">
        <v>3516</v>
      </c>
      <c r="B35" t="s" s="127">
        <v>3487</v>
      </c>
      <c r="C35" t="s" s="127">
        <v>3487</v>
      </c>
      <c r="D35" t="s" s="127">
        <v>3487</v>
      </c>
      <c r="E35" s="145">
        <v>97</v>
      </c>
      <c r="F35" t="str" s="144" cm="1">
        <f t="array" ref="F35">IF(E35&gt;=65,"y","n")</f>
        <v>y</v>
      </c>
      <c r="G35" s="144"/>
      <c r="H35" t="s" s="127">
        <v>3489</v>
      </c>
    </row>
    <row r="36" ht="20.25" customHeight="1" hidden="1">
      <c r="A36" t="s" s="146">
        <v>3517</v>
      </c>
      <c r="B36" t="s" s="147">
        <v>3487</v>
      </c>
      <c r="C36" t="s" s="147">
        <v>3487</v>
      </c>
      <c r="D36" t="s" s="147">
        <v>3487</v>
      </c>
      <c r="E36" s="148">
        <v>50</v>
      </c>
      <c r="F36" t="str" s="149" cm="1">
        <f t="array" ref="F36">IF(E36&gt;=65,"y","n")</f>
        <v>n</v>
      </c>
      <c r="G36" s="149"/>
      <c r="H36" t="s" s="150">
        <v>3489</v>
      </c>
    </row>
    <row r="37" ht="20.25" customHeight="1" hidden="1">
      <c r="A37" t="s" s="146">
        <v>3518</v>
      </c>
      <c r="B37" t="s" s="147">
        <v>3487</v>
      </c>
      <c r="C37" t="s" s="147">
        <v>3487</v>
      </c>
      <c r="D37" t="s" s="147">
        <v>3487</v>
      </c>
      <c r="E37" s="148">
        <v>56</v>
      </c>
      <c r="F37" t="str" s="149" cm="1">
        <f t="array" ref="F37">IF(E37&gt;=65,"y","n")</f>
        <v>n</v>
      </c>
      <c r="G37" s="149"/>
      <c r="H37" t="s" s="150">
        <v>3489</v>
      </c>
    </row>
    <row r="38" ht="20.25" customHeight="1">
      <c r="A38" t="s" s="127">
        <v>3519</v>
      </c>
      <c r="B38" t="s" s="127">
        <v>3487</v>
      </c>
      <c r="C38" t="s" s="127">
        <v>3487</v>
      </c>
      <c r="D38" t="s" s="127">
        <v>3487</v>
      </c>
      <c r="E38" s="145">
        <v>95</v>
      </c>
      <c r="F38" t="str" s="144" cm="1">
        <f t="array" ref="F38">IF(E38&gt;=65,"y","n")</f>
        <v>y</v>
      </c>
      <c r="G38" s="144"/>
      <c r="H38" t="s" s="127">
        <v>3489</v>
      </c>
    </row>
    <row r="39" ht="20.25" customHeight="1">
      <c r="A39" t="s" s="127">
        <v>3520</v>
      </c>
      <c r="B39" t="s" s="127">
        <v>3487</v>
      </c>
      <c r="C39" t="s" s="127">
        <v>3487</v>
      </c>
      <c r="D39" t="s" s="127">
        <v>3487</v>
      </c>
      <c r="E39" s="145">
        <v>88</v>
      </c>
      <c r="F39" t="str" s="144" cm="1">
        <f t="array" ref="F39">IF(E39&gt;=65,"y","n")</f>
        <v>y</v>
      </c>
      <c r="G39" s="144"/>
      <c r="H39" t="s" s="127">
        <v>3489</v>
      </c>
    </row>
    <row r="40" ht="20.25" customHeight="1">
      <c r="A40" t="s" s="127">
        <v>3521</v>
      </c>
      <c r="B40" t="s" s="127">
        <v>3487</v>
      </c>
      <c r="C40" t="s" s="127">
        <v>3487</v>
      </c>
      <c r="D40" t="s" s="127">
        <v>3487</v>
      </c>
      <c r="E40" s="145">
        <v>71</v>
      </c>
      <c r="F40" t="str" s="144" cm="1">
        <f t="array" ref="F40">IF(E40&gt;=65,"y","n")</f>
        <v>y</v>
      </c>
      <c r="G40" s="144"/>
      <c r="H40" t="s" s="127">
        <v>3489</v>
      </c>
    </row>
    <row r="41" ht="20.25" customHeight="1">
      <c r="A41" t="s" s="127">
        <v>3522</v>
      </c>
      <c r="B41" t="s" s="127">
        <v>3487</v>
      </c>
      <c r="C41" t="s" s="127">
        <v>3487</v>
      </c>
      <c r="D41" t="s" s="127">
        <v>3487</v>
      </c>
      <c r="E41" s="145">
        <v>67</v>
      </c>
      <c r="F41" t="str" s="144" cm="1">
        <f t="array" ref="F41">IF(E41&gt;=65,"y","n")</f>
        <v>y</v>
      </c>
      <c r="G41" s="144"/>
      <c r="H41" t="s" s="127">
        <v>3489</v>
      </c>
    </row>
    <row r="42" ht="20.25" customHeight="1" hidden="1">
      <c r="A42" t="s" s="146">
        <v>3523</v>
      </c>
      <c r="B42" t="s" s="147">
        <v>3487</v>
      </c>
      <c r="C42" t="s" s="147">
        <v>3487</v>
      </c>
      <c r="D42" t="s" s="147">
        <v>3487</v>
      </c>
      <c r="E42" s="148">
        <v>51</v>
      </c>
      <c r="F42" t="str" s="149" cm="1">
        <f t="array" ref="F42">IF(E42&gt;=65,"y","n")</f>
        <v>n</v>
      </c>
      <c r="G42" s="149"/>
      <c r="H42" t="s" s="150">
        <v>3489</v>
      </c>
    </row>
    <row r="43" ht="20.25" customHeight="1">
      <c r="A43" t="s" s="127">
        <v>3524</v>
      </c>
      <c r="B43" t="s" s="127">
        <v>3487</v>
      </c>
      <c r="C43" t="s" s="127">
        <v>3487</v>
      </c>
      <c r="D43" t="s" s="127">
        <v>3487</v>
      </c>
      <c r="E43" s="145">
        <v>93</v>
      </c>
      <c r="F43" t="str" s="144" cm="1">
        <f t="array" ref="F43">IF(E43&gt;=65,"y","n")</f>
        <v>y</v>
      </c>
      <c r="G43" s="144"/>
      <c r="H43" t="s" s="127">
        <v>3489</v>
      </c>
    </row>
    <row r="44" ht="20.25" customHeight="1">
      <c r="A44" t="s" s="127">
        <v>3525</v>
      </c>
      <c r="B44" t="s" s="127">
        <v>3487</v>
      </c>
      <c r="C44" t="s" s="127">
        <v>3487</v>
      </c>
      <c r="D44" t="s" s="127">
        <v>3487</v>
      </c>
      <c r="E44" s="145">
        <v>78</v>
      </c>
      <c r="F44" t="str" s="144" cm="1">
        <f t="array" ref="F44">IF(E44&gt;=65,"y","n")</f>
        <v>y</v>
      </c>
      <c r="G44" s="144"/>
      <c r="H44" t="s" s="127">
        <v>3489</v>
      </c>
    </row>
    <row r="45" ht="20.25" customHeight="1">
      <c r="A45" t="s" s="127">
        <v>3526</v>
      </c>
      <c r="B45" t="s" s="127">
        <v>3487</v>
      </c>
      <c r="C45" t="s" s="127">
        <v>3487</v>
      </c>
      <c r="D45" t="s" s="127">
        <v>3487</v>
      </c>
      <c r="E45" s="145">
        <v>94</v>
      </c>
      <c r="F45" t="str" s="144" cm="1">
        <f t="array" ref="F45">IF(E45&gt;=65,"y","n")</f>
        <v>y</v>
      </c>
      <c r="G45" s="144"/>
      <c r="H45" t="s" s="127">
        <v>3489</v>
      </c>
    </row>
    <row r="46" ht="20.25" customHeight="1">
      <c r="A46" t="s" s="127">
        <v>3527</v>
      </c>
      <c r="B46" t="s" s="127">
        <v>3487</v>
      </c>
      <c r="C46" t="s" s="127">
        <v>3487</v>
      </c>
      <c r="D46" t="s" s="127">
        <v>3487</v>
      </c>
      <c r="E46" s="145">
        <v>81</v>
      </c>
      <c r="F46" t="str" s="144" cm="1">
        <f t="array" ref="F46">IF(E46&gt;=65,"y","n")</f>
        <v>y</v>
      </c>
      <c r="G46" s="144"/>
      <c r="H46" t="s" s="127">
        <v>3489</v>
      </c>
    </row>
    <row r="47" ht="20.25" customHeight="1">
      <c r="A47" t="s" s="127">
        <v>3528</v>
      </c>
      <c r="B47" t="s" s="127">
        <v>3487</v>
      </c>
      <c r="C47" t="s" s="127">
        <v>3487</v>
      </c>
      <c r="D47" t="s" s="127">
        <v>3487</v>
      </c>
      <c r="E47" s="145">
        <v>83</v>
      </c>
      <c r="F47" t="str" s="144" cm="1">
        <f t="array" ref="F47">IF(E47&gt;=65,"y","n")</f>
        <v>y</v>
      </c>
      <c r="G47" s="144"/>
      <c r="H47" t="s" s="127">
        <v>3489</v>
      </c>
    </row>
    <row r="48" ht="20.25" customHeight="1" hidden="1">
      <c r="A48" t="s" s="146">
        <v>3529</v>
      </c>
      <c r="B48" t="s" s="147">
        <v>3487</v>
      </c>
      <c r="C48" t="s" s="147">
        <v>3487</v>
      </c>
      <c r="D48" t="s" s="147">
        <v>3487</v>
      </c>
      <c r="E48" s="148">
        <v>53</v>
      </c>
      <c r="F48" t="str" s="149" cm="1">
        <f t="array" ref="F48">IF(E48&gt;=65,"y","n")</f>
        <v>n</v>
      </c>
      <c r="G48" s="149"/>
      <c r="H48" t="s" s="150">
        <v>3489</v>
      </c>
    </row>
    <row r="49" ht="20.25" customHeight="1">
      <c r="A49" t="s" s="127">
        <v>3530</v>
      </c>
      <c r="B49" t="s" s="127">
        <v>3487</v>
      </c>
      <c r="C49" t="s" s="127">
        <v>3487</v>
      </c>
      <c r="D49" t="s" s="127">
        <v>3487</v>
      </c>
      <c r="E49" s="145">
        <v>68</v>
      </c>
      <c r="F49" t="str" s="144" cm="1">
        <f t="array" ref="F49">IF(E49&gt;=65,"y","n")</f>
        <v>y</v>
      </c>
      <c r="G49" s="144"/>
      <c r="H49" t="s" s="127">
        <v>3489</v>
      </c>
    </row>
    <row r="50" ht="20.25" customHeight="1">
      <c r="A50" t="s" s="127">
        <v>3241</v>
      </c>
      <c r="B50" t="s" s="127">
        <v>3487</v>
      </c>
      <c r="C50" t="s" s="127">
        <v>3487</v>
      </c>
      <c r="D50" t="s" s="127">
        <v>3487</v>
      </c>
      <c r="E50" s="145">
        <v>82</v>
      </c>
      <c r="F50" t="str" s="144" cm="1">
        <f t="array" ref="F50">IF(E50&gt;=65,"y","n")</f>
        <v>y</v>
      </c>
      <c r="G50" s="144"/>
      <c r="H50" t="s" s="127">
        <v>3489</v>
      </c>
    </row>
    <row r="51" ht="20.25" customHeight="1">
      <c r="A51" t="s" s="127">
        <v>3531</v>
      </c>
      <c r="B51" t="s" s="127">
        <v>3487</v>
      </c>
      <c r="C51" t="s" s="127">
        <v>3487</v>
      </c>
      <c r="D51" t="s" s="127">
        <v>3487</v>
      </c>
      <c r="E51" s="145">
        <v>79</v>
      </c>
      <c r="F51" t="str" s="144" cm="1">
        <f t="array" ref="F51">IF(E51&gt;=65,"y","n")</f>
        <v>y</v>
      </c>
      <c r="G51" s="144"/>
      <c r="H51" t="s" s="127">
        <v>3489</v>
      </c>
    </row>
    <row r="52" ht="20.25" customHeight="1">
      <c r="A52" t="s" s="127">
        <v>3532</v>
      </c>
      <c r="B52" t="s" s="127">
        <v>3487</v>
      </c>
      <c r="C52" t="s" s="127">
        <v>3487</v>
      </c>
      <c r="D52" t="s" s="127">
        <v>3487</v>
      </c>
      <c r="E52" s="145">
        <v>68</v>
      </c>
      <c r="F52" t="str" s="144" cm="1">
        <f t="array" ref="F52">IF(E52&gt;=65,"y","n")</f>
        <v>y</v>
      </c>
      <c r="G52" s="144"/>
      <c r="H52" t="s" s="127">
        <v>3489</v>
      </c>
    </row>
    <row r="53" ht="20.25" customHeight="1">
      <c r="A53" t="s" s="127">
        <v>3533</v>
      </c>
      <c r="B53" t="s" s="127">
        <v>3487</v>
      </c>
      <c r="C53" t="s" s="127">
        <v>3487</v>
      </c>
      <c r="D53" t="s" s="127">
        <v>3487</v>
      </c>
      <c r="E53" s="145">
        <v>65</v>
      </c>
      <c r="F53" t="str" s="144" cm="1">
        <f t="array" ref="F53">IF(E53&gt;=65,"y","n")</f>
        <v>y</v>
      </c>
      <c r="G53" s="144"/>
      <c r="H53" t="s" s="127">
        <v>3489</v>
      </c>
    </row>
    <row r="54" ht="20.25" customHeight="1" hidden="1">
      <c r="A54" t="s" s="146">
        <v>3268</v>
      </c>
      <c r="B54" t="s" s="147">
        <v>3487</v>
      </c>
      <c r="C54" t="s" s="147">
        <v>3487</v>
      </c>
      <c r="D54" t="s" s="147">
        <v>3487</v>
      </c>
      <c r="E54" s="148">
        <v>61</v>
      </c>
      <c r="F54" t="str" s="149" cm="1">
        <f t="array" ref="F54">IF(E54&gt;=65,"y","n")</f>
        <v>n</v>
      </c>
      <c r="G54" s="149"/>
      <c r="H54" t="s" s="150">
        <v>3489</v>
      </c>
    </row>
    <row r="55" ht="20.25" customHeight="1" hidden="1">
      <c r="A55" t="s" s="146">
        <v>3534</v>
      </c>
      <c r="B55" t="s" s="147">
        <v>3487</v>
      </c>
      <c r="C55" t="s" s="147">
        <v>3487</v>
      </c>
      <c r="D55" t="s" s="147">
        <v>3487</v>
      </c>
      <c r="E55" s="148">
        <v>64</v>
      </c>
      <c r="F55" t="str" s="149" cm="1">
        <f t="array" ref="F55">IF(E55&gt;=65,"y","n")</f>
        <v>n</v>
      </c>
      <c r="G55" s="149"/>
      <c r="H55" t="s" s="150">
        <v>3489</v>
      </c>
    </row>
    <row r="56" ht="20.25" customHeight="1">
      <c r="A56" t="s" s="127">
        <v>3535</v>
      </c>
      <c r="B56" t="s" s="127">
        <v>3487</v>
      </c>
      <c r="C56" t="s" s="127">
        <v>3487</v>
      </c>
      <c r="D56" t="s" s="127">
        <v>3487</v>
      </c>
      <c r="E56" s="145">
        <v>85</v>
      </c>
      <c r="F56" t="str" s="144" cm="1">
        <f t="array" ref="F56">IF(E56&gt;=65,"y","n")</f>
        <v>y</v>
      </c>
      <c r="G56" s="144"/>
      <c r="H56" t="s" s="127">
        <v>3489</v>
      </c>
    </row>
    <row r="57" ht="20.25" customHeight="1">
      <c r="A57" t="s" s="127">
        <v>3536</v>
      </c>
      <c r="B57" t="s" s="127">
        <v>3487</v>
      </c>
      <c r="C57" t="s" s="127">
        <v>3487</v>
      </c>
      <c r="D57" t="s" s="127">
        <v>3487</v>
      </c>
      <c r="E57" s="145">
        <v>86</v>
      </c>
      <c r="F57" t="str" s="144" cm="1">
        <f t="array" ref="F57">IF(E57&gt;=65,"y","n")</f>
        <v>y</v>
      </c>
      <c r="G57" s="144"/>
      <c r="H57" t="s" s="127">
        <v>3489</v>
      </c>
    </row>
    <row r="58" ht="20.25" customHeight="1">
      <c r="A58" t="s" s="127">
        <v>3537</v>
      </c>
      <c r="B58" t="s" s="127">
        <v>3487</v>
      </c>
      <c r="C58" t="s" s="127">
        <v>3487</v>
      </c>
      <c r="D58" t="s" s="127">
        <v>3487</v>
      </c>
      <c r="E58" s="145">
        <v>94</v>
      </c>
      <c r="F58" t="str" s="144" cm="1">
        <f t="array" ref="F58">IF(E58&gt;=65,"y","n")</f>
        <v>y</v>
      </c>
      <c r="G58" s="144"/>
      <c r="H58" t="s" s="127">
        <v>3489</v>
      </c>
    </row>
    <row r="59" ht="20.25" customHeight="1">
      <c r="A59" t="s" s="127">
        <v>3538</v>
      </c>
      <c r="B59" t="s" s="127">
        <v>3487</v>
      </c>
      <c r="C59" t="s" s="127">
        <v>3487</v>
      </c>
      <c r="D59" t="s" s="127">
        <v>3487</v>
      </c>
      <c r="E59" s="145">
        <v>80</v>
      </c>
      <c r="F59" t="str" s="144" cm="1">
        <f t="array" ref="F59">IF(E59&gt;=65,"y","n")</f>
        <v>y</v>
      </c>
      <c r="G59" s="144"/>
      <c r="H59" t="s" s="127">
        <v>3489</v>
      </c>
    </row>
    <row r="60" ht="20.25" customHeight="1">
      <c r="A60" t="s" s="127">
        <v>3539</v>
      </c>
      <c r="B60" t="s" s="127">
        <v>3487</v>
      </c>
      <c r="C60" t="s" s="127">
        <v>3487</v>
      </c>
      <c r="D60" t="s" s="127">
        <v>3487</v>
      </c>
      <c r="E60" s="145">
        <v>92</v>
      </c>
      <c r="F60" t="str" s="144" cm="1">
        <f t="array" ref="F60">IF(E60&gt;=65,"y","n")</f>
        <v>y</v>
      </c>
      <c r="G60" s="144"/>
      <c r="H60" t="s" s="127">
        <v>3489</v>
      </c>
    </row>
    <row r="61" ht="20.25" customHeight="1">
      <c r="A61" t="s" s="127">
        <v>3540</v>
      </c>
      <c r="B61" t="s" s="127">
        <v>3487</v>
      </c>
      <c r="C61" t="s" s="127">
        <v>3487</v>
      </c>
      <c r="D61" t="s" s="127">
        <v>3487</v>
      </c>
      <c r="E61" s="145">
        <v>74</v>
      </c>
      <c r="F61" t="str" s="144" cm="1">
        <f t="array" ref="F61">IF(E61&gt;=65,"y","n")</f>
        <v>y</v>
      </c>
      <c r="G61" s="144"/>
      <c r="H61" t="s" s="127">
        <v>3489</v>
      </c>
    </row>
    <row r="62" ht="20.25" customHeight="1">
      <c r="A62" t="s" s="127">
        <v>3541</v>
      </c>
      <c r="B62" t="s" s="127">
        <v>3487</v>
      </c>
      <c r="C62" t="s" s="127">
        <v>3487</v>
      </c>
      <c r="D62" t="s" s="127">
        <v>3487</v>
      </c>
      <c r="E62" s="145">
        <v>71</v>
      </c>
      <c r="F62" t="str" s="144" cm="1">
        <f t="array" ref="F62">IF(E62&gt;=65,"y","n")</f>
        <v>y</v>
      </c>
      <c r="G62" s="144"/>
      <c r="H62" t="s" s="127">
        <v>3489</v>
      </c>
    </row>
    <row r="63" ht="20.25" customHeight="1" hidden="1">
      <c r="A63" t="s" s="146">
        <v>3542</v>
      </c>
      <c r="B63" t="s" s="147">
        <v>3487</v>
      </c>
      <c r="C63" t="s" s="147">
        <v>3487</v>
      </c>
      <c r="D63" t="s" s="147">
        <v>3487</v>
      </c>
      <c r="E63" s="148">
        <v>62</v>
      </c>
      <c r="F63" t="str" s="149" cm="1">
        <f t="array" ref="F63">IF(E63&gt;=65,"y","n")</f>
        <v>n</v>
      </c>
      <c r="G63" s="149"/>
      <c r="H63" t="s" s="150">
        <v>3489</v>
      </c>
    </row>
    <row r="64" ht="20.25" customHeight="1">
      <c r="A64" t="s" s="127">
        <v>3543</v>
      </c>
      <c r="B64" t="s" s="127">
        <v>3487</v>
      </c>
      <c r="C64" t="s" s="127">
        <v>3487</v>
      </c>
      <c r="D64" t="s" s="127">
        <v>3487</v>
      </c>
      <c r="E64" s="145">
        <v>100</v>
      </c>
      <c r="F64" t="str" s="144" cm="1">
        <f t="array" ref="F64">IF(E64&gt;=65,"y","n")</f>
        <v>y</v>
      </c>
      <c r="G64" s="144"/>
      <c r="H64" t="s" s="127">
        <v>3489</v>
      </c>
    </row>
    <row r="65" ht="20.25" customHeight="1">
      <c r="A65" t="s" s="127">
        <v>3544</v>
      </c>
      <c r="B65" t="s" s="127">
        <v>3487</v>
      </c>
      <c r="C65" t="s" s="127">
        <v>3487</v>
      </c>
      <c r="D65" t="s" s="127">
        <v>3487</v>
      </c>
      <c r="E65" s="145">
        <v>95</v>
      </c>
      <c r="F65" t="str" s="144" cm="1">
        <f t="array" ref="F65">IF(E65&gt;=65,"y","n")</f>
        <v>y</v>
      </c>
      <c r="G65" s="144"/>
      <c r="H65" t="s" s="127">
        <v>3489</v>
      </c>
    </row>
    <row r="66" ht="20.25" customHeight="1">
      <c r="A66" t="s" s="127">
        <v>3545</v>
      </c>
      <c r="B66" t="s" s="127">
        <v>3487</v>
      </c>
      <c r="C66" t="s" s="127">
        <v>3487</v>
      </c>
      <c r="D66" t="s" s="127">
        <v>3487</v>
      </c>
      <c r="E66" s="145">
        <v>91</v>
      </c>
      <c r="F66" t="str" s="144" cm="1">
        <f t="array" ref="F66">IF(E66&gt;=65,"y","n")</f>
        <v>y</v>
      </c>
      <c r="G66" s="144"/>
      <c r="H66" t="s" s="127">
        <v>3489</v>
      </c>
    </row>
    <row r="67" ht="20.25" customHeight="1" hidden="1">
      <c r="A67" t="s" s="146">
        <v>3546</v>
      </c>
      <c r="B67" t="s" s="147">
        <v>3487</v>
      </c>
      <c r="C67" t="s" s="147">
        <v>3487</v>
      </c>
      <c r="D67" t="s" s="147">
        <v>3487</v>
      </c>
      <c r="E67" s="148">
        <v>62</v>
      </c>
      <c r="F67" t="str" s="149" cm="1">
        <f t="array" ref="F67">IF(E67&gt;=65,"y","n")</f>
        <v>n</v>
      </c>
      <c r="G67" s="149"/>
      <c r="H67" t="s" s="150">
        <v>3489</v>
      </c>
    </row>
    <row r="68" ht="20.25" customHeight="1">
      <c r="A68" t="s" s="127">
        <v>3547</v>
      </c>
      <c r="B68" t="s" s="127">
        <v>3487</v>
      </c>
      <c r="C68" t="s" s="127">
        <v>3487</v>
      </c>
      <c r="D68" t="s" s="127">
        <v>3487</v>
      </c>
      <c r="E68" s="145">
        <v>98</v>
      </c>
      <c r="F68" t="str" s="144" cm="1">
        <f t="array" ref="F68">IF(E68&gt;=65,"y","n")</f>
        <v>y</v>
      </c>
      <c r="G68" s="144"/>
      <c r="H68" t="s" s="127">
        <v>3489</v>
      </c>
    </row>
    <row r="69" ht="20.25" customHeight="1">
      <c r="A69" t="s" s="127">
        <v>3548</v>
      </c>
      <c r="B69" t="s" s="127">
        <v>3487</v>
      </c>
      <c r="C69" t="s" s="127">
        <v>3487</v>
      </c>
      <c r="D69" t="s" s="127">
        <v>3487</v>
      </c>
      <c r="E69" s="145">
        <v>94</v>
      </c>
      <c r="F69" t="str" s="144" cm="1">
        <f t="array" ref="F69">IF(E69&gt;=65,"y","n")</f>
        <v>y</v>
      </c>
      <c r="G69" s="144"/>
      <c r="H69" t="s" s="127">
        <v>3489</v>
      </c>
    </row>
    <row r="70" ht="20.25" customHeight="1">
      <c r="A70" t="s" s="127">
        <v>3194</v>
      </c>
      <c r="B70" t="s" s="127">
        <v>3487</v>
      </c>
      <c r="C70" t="s" s="127">
        <v>3487</v>
      </c>
      <c r="D70" t="s" s="127">
        <v>3487</v>
      </c>
      <c r="E70" s="145">
        <v>67</v>
      </c>
      <c r="F70" t="str" s="144" cm="1">
        <f t="array" ref="F70">IF(E70&gt;=65,"y","n")</f>
        <v>y</v>
      </c>
      <c r="G70" s="144"/>
      <c r="H70" t="s" s="127">
        <v>3489</v>
      </c>
    </row>
    <row r="71" ht="20.25" customHeight="1">
      <c r="A71" t="s" s="127">
        <v>3032</v>
      </c>
      <c r="B71" t="s" s="127">
        <v>3487</v>
      </c>
      <c r="C71" t="s" s="127">
        <v>3487</v>
      </c>
      <c r="D71" t="s" s="127">
        <v>3487</v>
      </c>
      <c r="E71" s="145">
        <v>73</v>
      </c>
      <c r="F71" t="str" s="144" cm="1">
        <f t="array" ref="F71">IF(E71&gt;=65,"y","n")</f>
        <v>y</v>
      </c>
      <c r="G71" s="144"/>
      <c r="H71" t="s" s="127">
        <v>3489</v>
      </c>
    </row>
    <row r="72" ht="20.25" customHeight="1">
      <c r="A72" t="s" s="127">
        <v>3564</v>
      </c>
      <c r="B72" t="s" s="127">
        <v>3487</v>
      </c>
      <c r="C72" t="s" s="127">
        <v>3487</v>
      </c>
      <c r="D72" t="s" s="127">
        <v>3487</v>
      </c>
      <c r="E72" s="145">
        <v>66</v>
      </c>
      <c r="F72" t="str" s="144" cm="1">
        <f t="array" ref="F72">IF(E72&gt;=65,"y","n")</f>
        <v>y</v>
      </c>
      <c r="G72" s="144"/>
      <c r="H72" t="s" s="127">
        <v>3489</v>
      </c>
    </row>
    <row r="73" ht="20.25" customHeight="1">
      <c r="A73" t="s" s="127">
        <v>3406</v>
      </c>
      <c r="B73" t="s" s="127">
        <v>3487</v>
      </c>
      <c r="C73" t="s" s="127">
        <v>3487</v>
      </c>
      <c r="D73" t="s" s="127">
        <v>3487</v>
      </c>
      <c r="E73" s="145">
        <v>77</v>
      </c>
      <c r="F73" t="str" s="144" cm="1">
        <f t="array" ref="F73">IF(E73&gt;=65,"y","n")</f>
        <v>y</v>
      </c>
      <c r="G73" s="144"/>
      <c r="H73" t="s" s="127">
        <v>3489</v>
      </c>
    </row>
  </sheetData>
  <mergeCells count="1">
    <mergeCell ref="A1:H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7"/>
  <sheetViews>
    <sheetView workbookViewId="0" showGridLines="0" defaultGridColor="1"/>
  </sheetViews>
  <sheetFormatPr defaultColWidth="16.3333" defaultRowHeight="13" customHeight="1" outlineLevelRow="0" outlineLevelCol="0"/>
  <cols>
    <col min="1" max="5" width="22.5" style="151" customWidth="1"/>
    <col min="6" max="16384" width="16.3516" style="151" customWidth="1"/>
  </cols>
  <sheetData>
    <row r="1" ht="19" customHeight="1">
      <c r="A1" t="s" s="152">
        <v>20</v>
      </c>
      <c r="B1" s="153"/>
      <c r="C1" s="153"/>
      <c r="D1" s="153"/>
      <c r="E1" s="154"/>
    </row>
    <row r="2" ht="18.15" customHeight="1">
      <c r="A2" t="s" s="155">
        <v>3946</v>
      </c>
      <c r="B2" t="s" s="155">
        <v>3947</v>
      </c>
      <c r="C2" t="s" s="155">
        <v>3948</v>
      </c>
      <c r="D2" t="s" s="155">
        <v>3949</v>
      </c>
      <c r="E2" t="s" s="155">
        <v>2963</v>
      </c>
    </row>
    <row r="3" ht="18.15" customHeight="1">
      <c r="A3" t="s" s="156">
        <v>3950</v>
      </c>
      <c r="B3" t="s" s="157">
        <v>3951</v>
      </c>
      <c r="C3" s="158">
        <v>2</v>
      </c>
      <c r="D3" t="s" s="159">
        <v>3488</v>
      </c>
      <c r="E3" s="160"/>
    </row>
    <row r="4" ht="17.9" customHeight="1">
      <c r="A4" t="s" s="161">
        <v>3950</v>
      </c>
      <c r="B4" t="s" s="162">
        <v>3952</v>
      </c>
      <c r="C4" t="s" s="163">
        <v>3953</v>
      </c>
      <c r="D4" t="s" s="163">
        <v>3488</v>
      </c>
      <c r="E4" s="164"/>
    </row>
    <row r="5" ht="17.9" customHeight="1">
      <c r="A5" t="s" s="161">
        <v>3950</v>
      </c>
      <c r="B5" t="s" s="162">
        <v>3954</v>
      </c>
      <c r="C5" t="s" s="163">
        <v>3955</v>
      </c>
      <c r="D5" t="s" s="163">
        <v>3488</v>
      </c>
      <c r="E5" s="164"/>
    </row>
    <row r="6" ht="17.9" customHeight="1">
      <c r="A6" t="s" s="161">
        <v>3950</v>
      </c>
      <c r="B6" t="s" s="162">
        <v>3956</v>
      </c>
      <c r="C6" t="s" s="163">
        <v>3957</v>
      </c>
      <c r="D6" t="s" s="163">
        <v>3488</v>
      </c>
      <c r="E6" s="164"/>
    </row>
    <row r="7" ht="17.9" customHeight="1">
      <c r="A7" t="s" s="161">
        <v>3950</v>
      </c>
      <c r="B7" t="s" s="162">
        <v>3958</v>
      </c>
      <c r="C7" s="165">
        <v>4</v>
      </c>
      <c r="D7" t="s" s="163">
        <v>3488</v>
      </c>
      <c r="E7" s="164"/>
    </row>
    <row r="8" ht="17.9" customHeight="1">
      <c r="A8" t="s" s="161">
        <v>3950</v>
      </c>
      <c r="B8" t="s" s="162">
        <v>3959</v>
      </c>
      <c r="C8" s="165">
        <v>22</v>
      </c>
      <c r="D8" t="s" s="163">
        <v>3488</v>
      </c>
      <c r="E8" s="164"/>
    </row>
    <row r="9" ht="17.9" customHeight="1">
      <c r="A9" t="s" s="161">
        <v>3950</v>
      </c>
      <c r="B9" t="s" s="162">
        <v>3960</v>
      </c>
      <c r="C9" t="s" s="163">
        <v>3961</v>
      </c>
      <c r="D9" t="s" s="163">
        <v>3488</v>
      </c>
      <c r="E9" s="164"/>
    </row>
    <row r="10" ht="17.9" customHeight="1">
      <c r="A10" t="s" s="161">
        <v>3950</v>
      </c>
      <c r="B10" t="s" s="162">
        <v>3962</v>
      </c>
      <c r="C10" t="s" s="163">
        <v>3963</v>
      </c>
      <c r="D10" t="s" s="163">
        <v>3488</v>
      </c>
      <c r="E10" s="164"/>
    </row>
    <row r="11" ht="17.9" customHeight="1">
      <c r="A11" t="s" s="161">
        <v>3950</v>
      </c>
      <c r="B11" t="s" s="162">
        <v>3964</v>
      </c>
      <c r="C11" t="s" s="163">
        <v>3965</v>
      </c>
      <c r="D11" t="s" s="163">
        <v>3488</v>
      </c>
      <c r="E11" s="164"/>
    </row>
    <row r="12" ht="17.9" customHeight="1">
      <c r="A12" t="s" s="161">
        <v>3950</v>
      </c>
      <c r="B12" t="s" s="162">
        <v>3966</v>
      </c>
      <c r="C12" s="165">
        <v>5</v>
      </c>
      <c r="D12" t="s" s="163">
        <v>3488</v>
      </c>
      <c r="E12" s="164"/>
    </row>
    <row r="13" ht="17.9" customHeight="1">
      <c r="A13" t="s" s="161">
        <v>3967</v>
      </c>
      <c r="B13" s="166">
        <v>2000000</v>
      </c>
      <c r="C13" t="s" s="163">
        <v>3968</v>
      </c>
      <c r="D13" s="164"/>
      <c r="E13" s="164"/>
    </row>
    <row r="14" ht="17.9" customHeight="1">
      <c r="A14" t="s" s="161">
        <v>3950</v>
      </c>
      <c r="B14" t="s" s="162">
        <v>3969</v>
      </c>
      <c r="C14" s="165">
        <v>16</v>
      </c>
      <c r="D14" t="s" s="163">
        <v>3488</v>
      </c>
      <c r="E14" s="164"/>
    </row>
    <row r="15" ht="17.9" customHeight="1">
      <c r="A15" t="s" s="161">
        <v>3950</v>
      </c>
      <c r="B15" t="s" s="162">
        <v>3970</v>
      </c>
      <c r="C15" s="165">
        <v>6</v>
      </c>
      <c r="D15" t="s" s="163">
        <v>3488</v>
      </c>
      <c r="E15" s="164"/>
    </row>
    <row r="16" ht="17.9" customHeight="1">
      <c r="A16" t="s" s="161">
        <v>3950</v>
      </c>
      <c r="B16" t="s" s="162">
        <v>3971</v>
      </c>
      <c r="C16" s="165">
        <v>18</v>
      </c>
      <c r="D16" t="s" s="163">
        <v>3488</v>
      </c>
      <c r="E16" s="164"/>
    </row>
    <row r="17" ht="17.9" customHeight="1">
      <c r="A17" t="s" s="161">
        <v>3950</v>
      </c>
      <c r="B17" t="s" s="162">
        <v>3972</v>
      </c>
      <c r="C17" s="165">
        <v>8</v>
      </c>
      <c r="D17" t="s" s="163">
        <v>3973</v>
      </c>
      <c r="E17" s="164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6.3333" defaultRowHeight="13" customHeight="1" outlineLevelRow="0" outlineLevelCol="0"/>
  <cols>
    <col min="1" max="1" width="9.85156" style="167" customWidth="1"/>
    <col min="2" max="3" width="29.6719" style="167" customWidth="1"/>
    <col min="4" max="5" width="16.3516" style="167" customWidth="1"/>
    <col min="6" max="16384" width="16.3516" style="167" customWidth="1"/>
  </cols>
  <sheetData>
    <row r="1" ht="19" customHeight="1">
      <c r="A1" t="s" s="152">
        <v>22</v>
      </c>
      <c r="B1" s="153"/>
      <c r="C1" s="153"/>
      <c r="D1" s="3"/>
      <c r="E1" s="4"/>
    </row>
    <row r="2" ht="27.15" customHeight="1">
      <c r="A2" t="s" s="155">
        <v>3974</v>
      </c>
      <c r="B2" t="s" s="155">
        <v>3975</v>
      </c>
      <c r="C2" t="s" s="155">
        <v>3976</v>
      </c>
      <c r="D2" s="168"/>
      <c r="E2" s="7"/>
    </row>
    <row r="3" ht="27.15" customHeight="1">
      <c r="A3" t="b" s="158">
        <v>0</v>
      </c>
      <c r="B3" t="s" s="159">
        <v>3977</v>
      </c>
      <c r="C3" s="158">
        <v>8</v>
      </c>
      <c r="D3" s="168"/>
      <c r="E3" s="7"/>
    </row>
    <row r="4" ht="26.8" customHeight="1">
      <c r="A4" t="b" s="165">
        <v>0</v>
      </c>
      <c r="B4" t="s" s="163">
        <v>3978</v>
      </c>
      <c r="C4" s="165">
        <v>2590</v>
      </c>
      <c r="D4" s="168"/>
      <c r="E4" s="7"/>
    </row>
    <row r="5" ht="26.8" customHeight="1">
      <c r="A5" t="b" s="165">
        <v>0</v>
      </c>
      <c r="B5" t="s" s="163">
        <v>3979</v>
      </c>
      <c r="C5" s="165">
        <v>2</v>
      </c>
      <c r="D5" s="168"/>
      <c r="E5" s="7"/>
    </row>
    <row r="6" ht="26.8" customHeight="1">
      <c r="A6" t="b" s="165">
        <v>0</v>
      </c>
      <c r="B6" t="s" s="163">
        <v>3980</v>
      </c>
      <c r="C6" s="165">
        <v>60</v>
      </c>
      <c r="D6" s="168"/>
      <c r="E6" s="7"/>
    </row>
    <row r="7" ht="26.8" customHeight="1">
      <c r="A7" t="b" s="165">
        <v>0</v>
      </c>
      <c r="B7" t="s" s="163">
        <v>3981</v>
      </c>
      <c r="C7" s="165">
        <v>40</v>
      </c>
      <c r="D7" s="168"/>
      <c r="E7" s="7"/>
    </row>
    <row r="8" ht="26.8" customHeight="1">
      <c r="A8" t="b" s="165">
        <v>0</v>
      </c>
      <c r="B8" t="s" s="163">
        <v>3982</v>
      </c>
      <c r="C8" s="165">
        <v>1</v>
      </c>
      <c r="D8" s="168"/>
      <c r="E8" s="7"/>
    </row>
    <row r="9" ht="26.8" customHeight="1">
      <c r="A9" t="b" s="165">
        <v>0</v>
      </c>
      <c r="B9" t="s" s="163">
        <v>3983</v>
      </c>
      <c r="C9" s="165">
        <v>14</v>
      </c>
      <c r="D9" s="168"/>
      <c r="E9" s="7"/>
    </row>
    <row r="10" ht="26.8" customHeight="1">
      <c r="A10" t="b" s="165">
        <v>0</v>
      </c>
      <c r="B10" t="s" s="163">
        <v>3984</v>
      </c>
      <c r="C10" s="165">
        <v>135</v>
      </c>
      <c r="D10" s="168"/>
      <c r="E10" s="7"/>
    </row>
    <row r="11" ht="26.8" customHeight="1">
      <c r="A11" t="b" s="165">
        <v>0</v>
      </c>
      <c r="B11" t="s" s="163">
        <v>3985</v>
      </c>
      <c r="C11" s="165">
        <v>400</v>
      </c>
      <c r="D11" s="168"/>
      <c r="E11" s="7"/>
    </row>
    <row r="12" ht="26.8" customHeight="1">
      <c r="A12" t="b" s="165">
        <v>0</v>
      </c>
      <c r="B12" t="s" s="163">
        <v>3986</v>
      </c>
      <c r="C12" s="165">
        <v>800</v>
      </c>
      <c r="D12" s="168"/>
      <c r="E12" s="7"/>
    </row>
    <row r="13" ht="26.8" customHeight="1">
      <c r="A13" t="b" s="165">
        <v>0</v>
      </c>
      <c r="B13" t="s" s="163">
        <v>3987</v>
      </c>
      <c r="C13" t="s" s="163">
        <v>3988</v>
      </c>
      <c r="D13" s="168"/>
      <c r="E13" s="7"/>
    </row>
    <row r="14" ht="26.8" customHeight="1">
      <c r="A14" t="b" s="165">
        <v>0</v>
      </c>
      <c r="B14" t="s" s="163">
        <v>3989</v>
      </c>
      <c r="C14" t="s" s="163">
        <v>3990</v>
      </c>
      <c r="D14" s="169"/>
      <c r="E14" s="19"/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6.3333" defaultRowHeight="13" customHeight="1" outlineLevelRow="0" outlineLevelCol="0"/>
  <cols>
    <col min="1" max="5" width="22.5" style="170" customWidth="1"/>
    <col min="6" max="16384" width="16.3516" style="170" customWidth="1"/>
  </cols>
  <sheetData>
    <row r="1" ht="19" customHeight="1">
      <c r="A1" t="s" s="152">
        <v>24</v>
      </c>
      <c r="B1" s="153"/>
      <c r="C1" s="153"/>
      <c r="D1" s="153"/>
      <c r="E1" s="154"/>
    </row>
    <row r="2" ht="41.4" customHeight="1">
      <c r="A2" t="s" s="155">
        <v>3480</v>
      </c>
      <c r="B2" t="s" s="155">
        <v>3991</v>
      </c>
      <c r="C2" t="s" s="155">
        <v>3992</v>
      </c>
      <c r="D2" t="s" s="155">
        <v>3993</v>
      </c>
      <c r="E2" t="s" s="155">
        <v>3994</v>
      </c>
    </row>
    <row r="3" ht="41.4" customHeight="1">
      <c r="A3" t="s" s="156">
        <v>3318</v>
      </c>
      <c r="B3" t="s" s="157">
        <v>3995</v>
      </c>
      <c r="C3" t="s" s="159">
        <v>3996</v>
      </c>
      <c r="D3" t="s" s="159">
        <v>3997</v>
      </c>
      <c r="E3" s="160"/>
    </row>
    <row r="4" ht="40.85" customHeight="1">
      <c r="A4" t="s" s="161">
        <v>2932</v>
      </c>
      <c r="B4" t="s" s="162">
        <v>3998</v>
      </c>
      <c r="C4" t="s" s="163">
        <v>3999</v>
      </c>
      <c r="D4" t="s" s="163">
        <v>3997</v>
      </c>
      <c r="E4" s="164"/>
    </row>
    <row r="5" ht="40.85" customHeight="1">
      <c r="A5" t="s" s="161">
        <v>4000</v>
      </c>
      <c r="B5" t="s" s="162">
        <v>3995</v>
      </c>
      <c r="C5" t="s" s="163">
        <v>4001</v>
      </c>
      <c r="D5" s="164"/>
      <c r="E5" t="s" s="163">
        <v>4002</v>
      </c>
    </row>
    <row r="6" ht="40.85" customHeight="1">
      <c r="A6" t="s" s="161">
        <v>2934</v>
      </c>
      <c r="B6" t="s" s="162">
        <v>3995</v>
      </c>
      <c r="C6" t="s" s="163">
        <v>4003</v>
      </c>
      <c r="D6" s="164"/>
      <c r="E6" t="s" s="163">
        <v>4004</v>
      </c>
    </row>
    <row r="7" ht="40.85" customHeight="1">
      <c r="A7" s="171"/>
      <c r="B7" s="172"/>
      <c r="C7" s="164"/>
      <c r="D7" s="164"/>
      <c r="E7" s="164"/>
    </row>
    <row r="8" ht="16" customHeight="1">
      <c r="A8" s="173"/>
      <c r="B8" s="174"/>
      <c r="C8" s="174"/>
      <c r="D8" s="174"/>
      <c r="E8" s="175"/>
    </row>
    <row r="9" ht="16" customHeight="1">
      <c r="A9" s="5"/>
      <c r="B9" s="6"/>
      <c r="C9" s="6"/>
      <c r="D9" s="6"/>
      <c r="E9" s="7"/>
    </row>
    <row r="10" ht="16" customHeight="1">
      <c r="A10" s="15"/>
      <c r="B10" s="114"/>
      <c r="C10" s="114"/>
      <c r="D10" s="114"/>
      <c r="E10" s="19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6.3333" defaultRowHeight="13" customHeight="1" outlineLevelRow="0" outlineLevelCol="0"/>
  <cols>
    <col min="1" max="5" width="22.5" style="176" customWidth="1"/>
    <col min="6" max="16384" width="16.3516" style="176" customWidth="1"/>
  </cols>
  <sheetData>
    <row r="1" ht="19" customHeight="1">
      <c r="A1" t="s" s="152">
        <v>26</v>
      </c>
      <c r="B1" s="153"/>
      <c r="C1" s="153"/>
      <c r="D1" s="153"/>
      <c r="E1" s="154"/>
    </row>
    <row r="2" ht="41.4" customHeight="1">
      <c r="A2" t="s" s="155">
        <v>3480</v>
      </c>
      <c r="B2" t="s" s="155">
        <v>3991</v>
      </c>
      <c r="C2" t="s" s="155">
        <v>3992</v>
      </c>
      <c r="D2" t="s" s="155">
        <v>3993</v>
      </c>
      <c r="E2" t="s" s="155">
        <v>3994</v>
      </c>
    </row>
    <row r="3" ht="41.4" customHeight="1">
      <c r="A3" s="177"/>
      <c r="B3" s="178"/>
      <c r="C3" s="160"/>
      <c r="D3" s="160"/>
      <c r="E3" s="160"/>
    </row>
    <row r="4" ht="40.85" customHeight="1">
      <c r="A4" s="171"/>
      <c r="B4" s="172"/>
      <c r="C4" s="164"/>
      <c r="D4" s="164"/>
      <c r="E4" s="164"/>
    </row>
    <row r="5" ht="40.85" customHeight="1">
      <c r="A5" s="171"/>
      <c r="B5" s="172"/>
      <c r="C5" s="164"/>
      <c r="D5" s="164"/>
      <c r="E5" s="164"/>
    </row>
    <row r="6" ht="40.85" customHeight="1">
      <c r="A6" s="171"/>
      <c r="B6" s="172"/>
      <c r="C6" s="164"/>
      <c r="D6" s="164"/>
      <c r="E6" s="164"/>
    </row>
    <row r="7" ht="40.85" customHeight="1">
      <c r="A7" s="171"/>
      <c r="B7" s="172"/>
      <c r="C7" s="164"/>
      <c r="D7" s="164"/>
      <c r="E7" s="164"/>
    </row>
    <row r="8" ht="16" customHeight="1">
      <c r="A8" s="173"/>
      <c r="B8" s="174"/>
      <c r="C8" s="174"/>
      <c r="D8" s="174"/>
      <c r="E8" s="175"/>
    </row>
    <row r="9" ht="16" customHeight="1">
      <c r="A9" s="5"/>
      <c r="B9" s="6"/>
      <c r="C9" s="6"/>
      <c r="D9" s="6"/>
      <c r="E9" s="7"/>
    </row>
    <row r="10" ht="16" customHeight="1">
      <c r="A10" s="15"/>
      <c r="B10" s="114"/>
      <c r="C10" s="114"/>
      <c r="D10" s="114"/>
      <c r="E10" s="19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9"/>
  <sheetViews>
    <sheetView workbookViewId="0" showGridLines="0" defaultGridColor="1"/>
  </sheetViews>
  <sheetFormatPr defaultColWidth="16.3333" defaultRowHeight="13" customHeight="1" outlineLevelRow="0" outlineLevelCol="0"/>
  <cols>
    <col min="1" max="5" width="16.3516" style="179" customWidth="1"/>
    <col min="6" max="16384" width="16.3516" style="179" customWidth="1"/>
  </cols>
  <sheetData>
    <row r="1" ht="19" customHeight="1">
      <c r="A1" t="s" s="152">
        <v>29</v>
      </c>
      <c r="B1" s="153"/>
      <c r="C1" s="153"/>
      <c r="D1" s="153"/>
      <c r="E1" s="154"/>
    </row>
    <row r="2" ht="15.65" customHeight="1">
      <c r="A2" t="s" s="155">
        <v>4005</v>
      </c>
      <c r="B2" t="s" s="180">
        <v>3480</v>
      </c>
      <c r="C2" t="s" s="155">
        <v>4006</v>
      </c>
      <c r="D2" t="s" s="155">
        <v>4007</v>
      </c>
      <c r="E2" t="s" s="155">
        <v>2963</v>
      </c>
    </row>
    <row r="3" ht="21" customHeight="1">
      <c r="A3" t="s" s="181">
        <v>4008</v>
      </c>
      <c r="B3" t="s" s="94">
        <v>2975</v>
      </c>
      <c r="C3" t="s" s="182">
        <v>4009</v>
      </c>
      <c r="D3" s="183" cm="1">
        <f t="array" ref="D3">TIME(9,0,0)</f>
        <v>1462.375</v>
      </c>
      <c r="E3" s="160"/>
    </row>
    <row r="4" ht="21" customHeight="1">
      <c r="A4" t="s" s="184">
        <v>4008</v>
      </c>
      <c r="B4" t="s" s="94">
        <v>2986</v>
      </c>
      <c r="C4" t="s" s="185">
        <v>4009</v>
      </c>
      <c r="D4" s="186" cm="1">
        <f t="array" ref="D4">TIME(9,0,0)</f>
        <v>1462.375</v>
      </c>
      <c r="E4" s="164"/>
    </row>
    <row r="5" ht="21" customHeight="1">
      <c r="A5" t="s" s="184">
        <v>4008</v>
      </c>
      <c r="B5" t="s" s="94">
        <v>2997</v>
      </c>
      <c r="C5" t="s" s="185">
        <v>4009</v>
      </c>
      <c r="D5" s="186" cm="1">
        <f t="array" ref="D5">TIME(9,0,0)</f>
        <v>1462.375</v>
      </c>
      <c r="E5" s="164"/>
    </row>
    <row r="6" ht="21" customHeight="1">
      <c r="A6" t="s" s="184">
        <v>4008</v>
      </c>
      <c r="B6" t="s" s="94">
        <v>3008</v>
      </c>
      <c r="C6" t="s" s="185">
        <v>4009</v>
      </c>
      <c r="D6" s="186" cm="1">
        <f t="array" ref="D6">TIME(9,0,0)</f>
        <v>1462.375</v>
      </c>
      <c r="E6" s="164"/>
    </row>
    <row r="7" ht="21" customHeight="1">
      <c r="A7" t="s" s="184">
        <v>4008</v>
      </c>
      <c r="B7" t="s" s="94">
        <v>3019</v>
      </c>
      <c r="C7" t="s" s="185">
        <v>4009</v>
      </c>
      <c r="D7" s="186" cm="1">
        <f t="array" ref="D7">TIME(9,0,0)</f>
        <v>1462.375</v>
      </c>
      <c r="E7" s="164"/>
    </row>
    <row r="8" ht="21" customHeight="1">
      <c r="A8" t="s" s="184">
        <v>4010</v>
      </c>
      <c r="B8" t="s" s="94">
        <v>3030</v>
      </c>
      <c r="C8" t="s" s="185">
        <v>4009</v>
      </c>
      <c r="D8" s="186" cm="1">
        <f t="array" ref="D8">TIME(9,0,0)</f>
        <v>1462.375</v>
      </c>
      <c r="E8" s="164"/>
    </row>
    <row r="9" ht="21" customHeight="1">
      <c r="A9" t="s" s="184">
        <v>4011</v>
      </c>
      <c r="B9" t="s" s="94">
        <v>3041</v>
      </c>
      <c r="C9" t="s" s="185">
        <v>4009</v>
      </c>
      <c r="D9" s="186" cm="1">
        <f t="array" ref="D9">TIME(9,0,0)</f>
        <v>1462.375</v>
      </c>
      <c r="E9" s="164"/>
    </row>
    <row r="10" ht="21" customHeight="1">
      <c r="A10" t="s" s="184">
        <v>4012</v>
      </c>
      <c r="B10" t="s" s="94">
        <v>3052</v>
      </c>
      <c r="C10" t="s" s="185">
        <v>4009</v>
      </c>
      <c r="D10" s="186" cm="1">
        <f t="array" ref="D10">TIME(9,0,0)</f>
        <v>1462.375</v>
      </c>
      <c r="E10" s="164"/>
    </row>
    <row r="11" ht="21" customHeight="1">
      <c r="A11" t="s" s="184">
        <v>4013</v>
      </c>
      <c r="B11" t="s" s="94">
        <v>3063</v>
      </c>
      <c r="C11" t="s" s="185">
        <v>4009</v>
      </c>
      <c r="D11" s="186" cm="1">
        <f t="array" ref="D11">TIME(9,0,0)</f>
        <v>1462.375</v>
      </c>
      <c r="E11" s="164"/>
    </row>
    <row r="12" ht="21" customHeight="1">
      <c r="A12" t="s" s="184">
        <v>4014</v>
      </c>
      <c r="B12" t="s" s="94">
        <v>3034</v>
      </c>
      <c r="C12" t="s" s="185">
        <v>4009</v>
      </c>
      <c r="D12" s="186" cm="1">
        <f t="array" ref="D12">TIME(9,0,0)</f>
        <v>1462.375</v>
      </c>
      <c r="E12" s="164"/>
    </row>
    <row r="13" ht="21" customHeight="1">
      <c r="A13" t="s" s="184">
        <v>4015</v>
      </c>
      <c r="B13" t="s" s="94">
        <v>3045</v>
      </c>
      <c r="C13" t="s" s="185">
        <v>4009</v>
      </c>
      <c r="D13" s="186" cm="1">
        <f t="array" ref="D13">TIME(9,0,0)</f>
        <v>1462.375</v>
      </c>
      <c r="E13" s="164"/>
    </row>
    <row r="14" ht="21" customHeight="1">
      <c r="A14" t="s" s="184">
        <v>4016</v>
      </c>
      <c r="B14" t="s" s="94">
        <v>3056</v>
      </c>
      <c r="C14" t="s" s="185">
        <v>4009</v>
      </c>
      <c r="D14" s="186" cm="1">
        <f t="array" ref="D14">TIME(9,0,0)</f>
        <v>1462.375</v>
      </c>
      <c r="E14" s="164"/>
    </row>
    <row r="15" ht="21" customHeight="1">
      <c r="A15" t="s" s="184">
        <v>4017</v>
      </c>
      <c r="B15" t="s" s="94">
        <v>3067</v>
      </c>
      <c r="C15" t="s" s="185">
        <v>4009</v>
      </c>
      <c r="D15" s="186" cm="1">
        <f t="array" ref="D15">TIME(9,0,0)</f>
        <v>1462.375</v>
      </c>
      <c r="E15" s="164"/>
    </row>
    <row r="16" ht="21" customHeight="1">
      <c r="A16" t="s" s="184">
        <v>4018</v>
      </c>
      <c r="B16" t="s" s="94">
        <v>3078</v>
      </c>
      <c r="C16" t="s" s="185">
        <v>4009</v>
      </c>
      <c r="D16" s="186" cm="1">
        <f t="array" ref="D16">TIME(9,0,0)</f>
        <v>1462.375</v>
      </c>
      <c r="E16" s="164"/>
    </row>
    <row r="17" ht="21" customHeight="1">
      <c r="A17" t="s" s="184">
        <v>4019</v>
      </c>
      <c r="B17" t="s" s="94">
        <v>3089</v>
      </c>
      <c r="C17" t="s" s="185">
        <v>4009</v>
      </c>
      <c r="D17" s="186" cm="1">
        <f t="array" ref="D17">TIME(9,0,0)</f>
        <v>1462.375</v>
      </c>
      <c r="E17" s="164"/>
    </row>
    <row r="18" ht="21" customHeight="1">
      <c r="A18" t="s" s="184">
        <v>4020</v>
      </c>
      <c r="B18" t="s" s="94">
        <v>3100</v>
      </c>
      <c r="C18" t="s" s="185">
        <v>4009</v>
      </c>
      <c r="D18" s="186" cm="1">
        <f t="array" ref="D18">TIME(9,0,0)</f>
        <v>1462.375</v>
      </c>
      <c r="E18" s="164"/>
    </row>
    <row r="19" ht="21" customHeight="1">
      <c r="A19" t="s" s="184">
        <v>4021</v>
      </c>
      <c r="B19" t="s" s="94">
        <v>3111</v>
      </c>
      <c r="C19" t="s" s="185">
        <v>4009</v>
      </c>
      <c r="D19" s="186" cm="1">
        <f t="array" ref="D19">TIME(9,0,0)</f>
        <v>1462.375</v>
      </c>
      <c r="E19" s="164"/>
    </row>
    <row r="20" ht="21" customHeight="1">
      <c r="A20" t="s" s="184">
        <v>4022</v>
      </c>
      <c r="B20" t="s" s="94">
        <v>3122</v>
      </c>
      <c r="C20" t="s" s="185">
        <v>4009</v>
      </c>
      <c r="D20" s="186" cm="1">
        <f t="array" ref="D20">TIME(9,0,0)</f>
        <v>1462.375</v>
      </c>
      <c r="E20" s="164"/>
    </row>
    <row r="21" ht="21" customHeight="1">
      <c r="A21" t="s" s="184">
        <v>4023</v>
      </c>
      <c r="B21" t="s" s="94">
        <v>3133</v>
      </c>
      <c r="C21" t="s" s="185">
        <v>4009</v>
      </c>
      <c r="D21" s="186" cm="1">
        <f t="array" ref="D21">TIME(9,0,0)</f>
        <v>1462.375</v>
      </c>
      <c r="E21" s="164"/>
    </row>
    <row r="22" ht="21" customHeight="1">
      <c r="A22" t="s" s="184">
        <v>4024</v>
      </c>
      <c r="B22" t="s" s="94">
        <v>3144</v>
      </c>
      <c r="C22" t="s" s="185">
        <v>4009</v>
      </c>
      <c r="D22" s="186" cm="1">
        <f t="array" ref="D22">TIME(9,0,0)</f>
        <v>1462.375</v>
      </c>
      <c r="E22" s="164"/>
    </row>
    <row r="23" ht="21" customHeight="1">
      <c r="A23" t="s" s="184">
        <v>4025</v>
      </c>
      <c r="B23" t="s" s="94">
        <v>3155</v>
      </c>
      <c r="C23" t="s" s="185">
        <v>4009</v>
      </c>
      <c r="D23" s="186" cm="1">
        <f t="array" ref="D23">TIME(9,0,0)</f>
        <v>1462.375</v>
      </c>
      <c r="E23" s="164"/>
    </row>
    <row r="24" ht="21" customHeight="1">
      <c r="A24" t="s" s="184">
        <v>4026</v>
      </c>
      <c r="B24" t="s" s="94">
        <v>3166</v>
      </c>
      <c r="C24" t="s" s="185">
        <v>4009</v>
      </c>
      <c r="D24" s="186" cm="1">
        <f t="array" ref="D24">TIME(9,0,0)</f>
        <v>1462.375</v>
      </c>
      <c r="E24" s="164"/>
    </row>
    <row r="25" ht="21" customHeight="1">
      <c r="A25" t="s" s="184">
        <v>4027</v>
      </c>
      <c r="B25" t="s" s="94">
        <v>3177</v>
      </c>
      <c r="C25" t="s" s="185">
        <v>4009</v>
      </c>
      <c r="D25" s="186" cm="1">
        <f t="array" ref="D25">TIME(9,0,0)</f>
        <v>1462.375</v>
      </c>
      <c r="E25" s="164"/>
    </row>
    <row r="26" ht="21" customHeight="1">
      <c r="A26" t="s" s="184">
        <v>4028</v>
      </c>
      <c r="B26" t="s" s="94">
        <v>3188</v>
      </c>
      <c r="C26" t="s" s="185">
        <v>4009</v>
      </c>
      <c r="D26" s="186" cm="1">
        <f t="array" ref="D26">TIME(9,0,0)</f>
        <v>1462.375</v>
      </c>
      <c r="E26" s="164"/>
    </row>
    <row r="27" ht="21" customHeight="1">
      <c r="A27" t="s" s="184">
        <v>4029</v>
      </c>
      <c r="B27" t="s" s="94">
        <v>2979</v>
      </c>
      <c r="C27" t="s" s="185">
        <v>4009</v>
      </c>
      <c r="D27" s="186" cm="1">
        <f t="array" ref="D27">TIME(9,0,0)</f>
        <v>1462.375</v>
      </c>
      <c r="E27" s="164"/>
    </row>
    <row r="28" ht="21" customHeight="1">
      <c r="A28" t="s" s="184">
        <v>4030</v>
      </c>
      <c r="B28" t="s" s="94">
        <v>2990</v>
      </c>
      <c r="C28" t="s" s="185">
        <v>4009</v>
      </c>
      <c r="D28" s="186" cm="1">
        <f t="array" ref="D28">TIME(9,0,0)</f>
        <v>1462.375</v>
      </c>
      <c r="E28" s="164"/>
    </row>
    <row r="29" ht="21" customHeight="1">
      <c r="A29" t="s" s="184">
        <v>4031</v>
      </c>
      <c r="B29" t="s" s="94">
        <v>3001</v>
      </c>
      <c r="C29" t="s" s="185">
        <v>4009</v>
      </c>
      <c r="D29" s="186" cm="1">
        <f t="array" ref="D29">TIME(9,0,0)</f>
        <v>1462.375</v>
      </c>
      <c r="E29" s="164"/>
    </row>
    <row r="30" ht="21" customHeight="1">
      <c r="A30" t="s" s="184">
        <v>4032</v>
      </c>
      <c r="B30" t="s" s="94">
        <v>3012</v>
      </c>
      <c r="C30" t="s" s="185">
        <v>4009</v>
      </c>
      <c r="D30" s="186" cm="1">
        <f t="array" ref="D30">TIME(9,0,0)</f>
        <v>1462.375</v>
      </c>
      <c r="E30" s="164"/>
    </row>
    <row r="31" ht="21" customHeight="1">
      <c r="A31" t="s" s="184">
        <v>4033</v>
      </c>
      <c r="B31" t="s" s="94">
        <v>3023</v>
      </c>
      <c r="C31" t="s" s="185">
        <v>4009</v>
      </c>
      <c r="D31" s="186" cm="1">
        <f t="array" ref="D31">TIME(9,0,0)</f>
        <v>1462.375</v>
      </c>
      <c r="E31" s="164"/>
    </row>
    <row r="32" ht="21" customHeight="1">
      <c r="A32" t="s" s="184">
        <v>4034</v>
      </c>
      <c r="B32" t="s" s="94">
        <v>3034</v>
      </c>
      <c r="C32" t="s" s="185">
        <v>4009</v>
      </c>
      <c r="D32" s="186" cm="1">
        <f t="array" ref="D32">TIME(9,0,0)</f>
        <v>1462.375</v>
      </c>
      <c r="E32" s="164"/>
    </row>
    <row r="33" ht="21" customHeight="1">
      <c r="A33" t="s" s="184">
        <v>4035</v>
      </c>
      <c r="B33" t="s" s="94">
        <v>3045</v>
      </c>
      <c r="C33" t="s" s="185">
        <v>4009</v>
      </c>
      <c r="D33" s="186" cm="1">
        <f t="array" ref="D33">TIME(9,0,0)</f>
        <v>1462.375</v>
      </c>
      <c r="E33" s="164"/>
    </row>
    <row r="34" ht="21" customHeight="1">
      <c r="A34" t="s" s="184">
        <v>4036</v>
      </c>
      <c r="B34" t="s" s="94">
        <v>3056</v>
      </c>
      <c r="C34" t="s" s="185">
        <v>4009</v>
      </c>
      <c r="D34" s="186" cm="1">
        <f t="array" ref="D34">TIME(9,0,0)</f>
        <v>1462.375</v>
      </c>
      <c r="E34" s="164"/>
    </row>
    <row r="35" ht="21" customHeight="1">
      <c r="A35" t="s" s="184">
        <v>4037</v>
      </c>
      <c r="B35" t="s" s="94">
        <v>3067</v>
      </c>
      <c r="C35" t="s" s="185">
        <v>4009</v>
      </c>
      <c r="D35" s="186" cm="1">
        <f t="array" ref="D35">TIME(9,0,0)</f>
        <v>1462.375</v>
      </c>
      <c r="E35" s="164"/>
    </row>
    <row r="36" ht="21" customHeight="1">
      <c r="A36" t="s" s="184">
        <v>4038</v>
      </c>
      <c r="B36" t="s" s="94">
        <v>3078</v>
      </c>
      <c r="C36" t="s" s="185">
        <v>4009</v>
      </c>
      <c r="D36" s="186" cm="1">
        <f t="array" ref="D36">TIME(9,0,0)</f>
        <v>1462.375</v>
      </c>
      <c r="E36" s="164"/>
    </row>
    <row r="37" ht="21" customHeight="1">
      <c r="A37" t="s" s="184">
        <v>4039</v>
      </c>
      <c r="B37" t="s" s="94">
        <v>3089</v>
      </c>
      <c r="C37" t="s" s="185">
        <v>4009</v>
      </c>
      <c r="D37" s="186" cm="1">
        <f t="array" ref="D37">TIME(9,0,0)</f>
        <v>1462.375</v>
      </c>
      <c r="E37" s="164"/>
    </row>
    <row r="38" ht="21" customHeight="1">
      <c r="A38" t="s" s="184">
        <v>4040</v>
      </c>
      <c r="B38" t="s" s="94">
        <v>3100</v>
      </c>
      <c r="C38" t="s" s="185">
        <v>4009</v>
      </c>
      <c r="D38" s="186" cm="1">
        <f t="array" ref="D38">TIME(9,0,0)</f>
        <v>1462.375</v>
      </c>
      <c r="E38" s="164"/>
    </row>
    <row r="39" ht="21" customHeight="1">
      <c r="A39" t="s" s="184">
        <v>4041</v>
      </c>
      <c r="B39" t="s" s="94">
        <v>3111</v>
      </c>
      <c r="C39" t="s" s="185">
        <v>4009</v>
      </c>
      <c r="D39" s="186" cm="1">
        <f t="array" ref="D39">TIME(9,0,0)</f>
        <v>1462.375</v>
      </c>
      <c r="E39" s="164"/>
    </row>
    <row r="40" ht="21" customHeight="1">
      <c r="A40" t="s" s="184">
        <v>4042</v>
      </c>
      <c r="B40" t="s" s="94">
        <v>3122</v>
      </c>
      <c r="C40" t="s" s="185">
        <v>4009</v>
      </c>
      <c r="D40" s="186" cm="1">
        <f t="array" ref="D40">TIME(9,0,0)</f>
        <v>1462.375</v>
      </c>
      <c r="E40" s="164"/>
    </row>
    <row r="41" ht="21" customHeight="1">
      <c r="A41" t="s" s="184">
        <v>4043</v>
      </c>
      <c r="B41" t="s" s="94">
        <v>3133</v>
      </c>
      <c r="C41" t="s" s="185">
        <v>4009</v>
      </c>
      <c r="D41" s="186" cm="1">
        <f t="array" ref="D41">TIME(9,0,0)</f>
        <v>1462.375</v>
      </c>
      <c r="E41" s="164"/>
    </row>
    <row r="42" ht="21" customHeight="1">
      <c r="A42" t="s" s="184">
        <v>4044</v>
      </c>
      <c r="B42" t="s" s="94">
        <v>3144</v>
      </c>
      <c r="C42" t="s" s="185">
        <v>4009</v>
      </c>
      <c r="D42" s="186" cm="1">
        <f t="array" ref="D42">TIME(9,0,0)</f>
        <v>1462.375</v>
      </c>
      <c r="E42" s="164"/>
    </row>
    <row r="43" ht="21" customHeight="1">
      <c r="A43" t="s" s="184">
        <v>4045</v>
      </c>
      <c r="B43" t="s" s="94">
        <v>3155</v>
      </c>
      <c r="C43" t="s" s="185">
        <v>4009</v>
      </c>
      <c r="D43" s="186" cm="1">
        <f t="array" ref="D43">TIME(9,0,0)</f>
        <v>1462.375</v>
      </c>
      <c r="E43" s="164"/>
    </row>
    <row r="44" ht="21" customHeight="1">
      <c r="A44" t="s" s="184">
        <v>4046</v>
      </c>
      <c r="B44" t="s" s="94">
        <v>3166</v>
      </c>
      <c r="C44" t="s" s="185">
        <v>4009</v>
      </c>
      <c r="D44" s="186" cm="1">
        <f t="array" ref="D44">TIME(9,0,0)</f>
        <v>1462.375</v>
      </c>
      <c r="E44" s="164"/>
    </row>
    <row r="45" ht="21" customHeight="1">
      <c r="A45" t="s" s="184">
        <v>4047</v>
      </c>
      <c r="B45" t="s" s="94">
        <v>3177</v>
      </c>
      <c r="C45" t="s" s="185">
        <v>4009</v>
      </c>
      <c r="D45" s="186" cm="1">
        <f t="array" ref="D45">TIME(9,0,0)</f>
        <v>1462.375</v>
      </c>
      <c r="E45" s="164"/>
    </row>
    <row r="46" ht="21" customHeight="1">
      <c r="A46" t="s" s="184">
        <v>4048</v>
      </c>
      <c r="B46" t="s" s="94">
        <v>3188</v>
      </c>
      <c r="C46" t="s" s="185">
        <v>4009</v>
      </c>
      <c r="D46" s="186" cm="1">
        <f t="array" ref="D46">TIME(9,0,0)</f>
        <v>1462.375</v>
      </c>
      <c r="E46" s="164"/>
    </row>
    <row r="47" ht="21" customHeight="1">
      <c r="A47" t="s" s="184">
        <v>4049</v>
      </c>
      <c r="B47" t="s" s="94">
        <v>3199</v>
      </c>
      <c r="C47" t="s" s="185">
        <v>4009</v>
      </c>
      <c r="D47" s="186" cm="1">
        <f t="array" ref="D47">TIME(9,0,0)</f>
        <v>1462.375</v>
      </c>
      <c r="E47" s="164"/>
    </row>
    <row r="48" ht="21" customHeight="1">
      <c r="A48" t="s" s="184">
        <v>4050</v>
      </c>
      <c r="B48" t="s" s="94">
        <v>3210</v>
      </c>
      <c r="C48" t="s" s="185">
        <v>4009</v>
      </c>
      <c r="D48" s="186" cm="1">
        <f t="array" ref="D48">TIME(9,0,0)</f>
        <v>1462.375</v>
      </c>
      <c r="E48" s="164"/>
    </row>
    <row r="49" ht="21" customHeight="1">
      <c r="A49" t="s" s="184">
        <v>4051</v>
      </c>
      <c r="B49" t="s" s="94">
        <v>3221</v>
      </c>
      <c r="C49" t="s" s="185">
        <v>4009</v>
      </c>
      <c r="D49" s="186" cm="1">
        <f t="array" ref="D49">TIME(9,0,0)</f>
        <v>1462.375</v>
      </c>
      <c r="E49" s="164"/>
    </row>
    <row r="50" ht="21" customHeight="1">
      <c r="A50" t="s" s="184">
        <v>4052</v>
      </c>
      <c r="B50" t="s" s="94">
        <v>3232</v>
      </c>
      <c r="C50" t="s" s="185">
        <v>4009</v>
      </c>
      <c r="D50" s="186" cm="1">
        <f t="array" ref="D50">TIME(9,0,0)</f>
        <v>1462.375</v>
      </c>
      <c r="E50" s="164"/>
    </row>
    <row r="51" ht="21" customHeight="1">
      <c r="A51" s="187"/>
      <c r="B51" s="188"/>
      <c r="C51" s="189"/>
      <c r="D51" s="164"/>
      <c r="E51" s="164"/>
    </row>
    <row r="52" ht="21" customHeight="1">
      <c r="A52" s="187"/>
      <c r="B52" s="188"/>
      <c r="C52" s="189"/>
      <c r="D52" s="164"/>
      <c r="E52" s="164"/>
    </row>
    <row r="53" ht="21" customHeight="1">
      <c r="A53" s="187"/>
      <c r="B53" s="188"/>
      <c r="C53" s="189"/>
      <c r="D53" s="164"/>
      <c r="E53" s="164"/>
    </row>
    <row r="54" ht="21" customHeight="1">
      <c r="A54" s="187"/>
      <c r="B54" s="188"/>
      <c r="C54" s="189"/>
      <c r="D54" s="164"/>
      <c r="E54" s="164"/>
    </row>
    <row r="55" ht="21" customHeight="1">
      <c r="A55" s="187"/>
      <c r="B55" s="188"/>
      <c r="C55" s="189"/>
      <c r="D55" s="164"/>
      <c r="E55" s="164"/>
    </row>
    <row r="56" ht="21" customHeight="1">
      <c r="A56" s="187"/>
      <c r="B56" s="188"/>
      <c r="C56" s="189"/>
      <c r="D56" s="164"/>
      <c r="E56" s="164"/>
    </row>
    <row r="57" ht="21" customHeight="1">
      <c r="A57" s="187"/>
      <c r="B57" s="188"/>
      <c r="C57" s="189"/>
      <c r="D57" s="164"/>
      <c r="E57" s="164"/>
    </row>
    <row r="58" ht="21" customHeight="1">
      <c r="A58" s="187"/>
      <c r="B58" s="188"/>
      <c r="C58" s="189"/>
      <c r="D58" s="164"/>
      <c r="E58" s="164"/>
    </row>
    <row r="59" ht="21" customHeight="1">
      <c r="A59" s="187"/>
      <c r="B59" s="188"/>
      <c r="C59" s="189"/>
      <c r="D59" s="164"/>
      <c r="E59" s="164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